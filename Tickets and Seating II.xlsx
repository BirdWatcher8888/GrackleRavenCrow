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8f416b94f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9e2bbc5d115e46b3"/>
    <x:sheet xmlns:r="http://schemas.openxmlformats.org/officeDocument/2006/relationships" name="Venue caps" sheetId="2" r:id="Rb460e7ddead74eba"/>
    <x:sheet xmlns:r="http://schemas.openxmlformats.org/officeDocument/2006/relationships" name="Methodology" sheetId="3" r:id="R315fdcfb6959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0"/>
  </x:numFmts>
  <x:fonts count="11">
    <x:font>
      <x:sz val="11"/>
      <x:name val="Carlito"/>
    </x:font>
    <x:font>
      <x:b/>
      <x:sz val="20"/>
      <x:color rgb="FFFFFFFF"/>
      <x:name val="Carlito"/>
    </x:font>
    <x:font>
      <x:sz val="10"/>
      <x:color rgb="FF213238"/>
      <x:name val="Carlito"/>
    </x:font>
    <x:font>
      <x:b/>
      <x:sz val="9"/>
      <x:color rgb="FFFFFFFF"/>
      <x:name val="Carlito"/>
    </x:font>
    <x:font>
      <x:b/>
      <x:sz val="15"/>
      <x:color rgb="FF213238"/>
      <x:name val="Carlito"/>
    </x:font>
    <x:font>
      <x:b/>
      <x:sz val="10"/>
      <x:color rgb="FFFFFFFF"/>
      <x:name val="Carlito"/>
    </x:font>
    <x:font>
      <x:sz val="9"/>
      <x:color rgb="FF213238"/>
      <x:name val="Carlito"/>
    </x:font>
    <x:font>
      <x:sz val="8"/>
      <x:color rgb="FF1D4ED8"/>
      <x:name val="Carlito"/>
    </x:font>
    <x:font>
      <x:b/>
      <x:sz val="9"/>
      <x:color rgb="FF1D5E2A"/>
      <x:name val="Carlito"/>
    </x:font>
    <x:font>
      <x:b/>
      <x:sz val="9"/>
      <x:color rgb="FF8B1E1E"/>
      <x:name val="Carlito"/>
    </x:font>
    <x:font>
      <x:b/>
      <x:sz val="11"/>
      <x:color rgb="FF2132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CEFF0"/>
      </x:patternFill>
    </x:fill>
    <x:fill>
      <x:patternFill patternType="solid">
        <x:fgColor rgb="FFE9EEF2"/>
      </x:patternFill>
    </x:fill>
    <x:fill>
      <x:patternFill patternType="solid">
        <x:fgColor rgb="FFDFF2E1"/>
      </x:patternFill>
    </x:fill>
    <x:fill>
      <x:patternFill patternType="solid">
        <x:fgColor rgb="FFFFF2CC"/>
      </x:patternFill>
    </x:fill>
    <x:fill>
      <x:patternFill patternType="solid">
        <x:fgColor rgb="FFFDE2E2"/>
      </x:patternFill>
    </x:fill>
    <x:fill>
      <x:patternFill patternType="solid">
        <x:fgColor rgb="FF1F6F78"/>
      </x:patternFill>
    </x:fill>
    <x:fill>
      <x:patternFill patternType="solid">
        <x:fgColor rgb="FFF7F4ED"/>
      </x:patternFill>
    </x:fill>
  </x:fills>
  <x:borders count="30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top/>
      <x:bottom/>
    </x:border>
    <x:border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3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2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4" xfId="0" applyNumberFormat="1" applyFont="1" applyFill="1" applyBorder="1" applyAlignment="1">
      <x:alignment horizontal="center"/>
    </x:xf>
    <x:xf numFmtId="0" fontId="4" fillId="7" borderId="5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4" fillId="7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/>
    <x:xf numFmtId="0" fontId="3" fillId="2" borderId="6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6" xfId="0" applyNumberFormat="1" applyFont="1" applyFill="1" applyBorder="1"/>
    <x:xf numFmtId="0" fontId="4" fillId="3" borderId="3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4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/>
    <x:xf numFmtId="0" fontId="4" fillId="3" borderId="4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horizontal="center" vertical="center"/>
    </x:xf>
    <x:xf numFmtId="200" fontId="4" fillId="3" borderId="7" xfId="0" applyNumberFormat="1" applyFont="1" applyFill="1" applyBorder="1" applyAlignment="1">
      <x:alignment horizontal="center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0" fontId="6" fillId="0" borderId="11" xfId="0" applyNumberFormat="1" applyFont="1" applyFill="1" applyBorder="1" applyAlignment="1">
      <x:alignment vertical="top" wrapText="1"/>
    </x:xf>
    <x:xf numFmtId="200" fontId="6" fillId="0" borderId="13" xfId="0" applyNumberFormat="1" applyFont="1" applyFill="1" applyBorder="1" applyAlignment="1">
      <x:alignment vertical="top" wrapText="1"/>
    </x:xf>
    <x:xf numFmtId="200" fontId="6" fillId="0" borderId="16" xfId="0" applyNumberFormat="1" applyFont="1" applyFill="1" applyBorder="1" applyAlignment="1">
      <x:alignment vertical="top" wrapText="1"/>
    </x:xf>
    <x:xf numFmtId="200" fontId="6" fillId="0" borderId="19" xfId="0" applyNumberFormat="1" applyFont="1" applyFill="1" applyBorder="1" applyAlignment="1">
      <x:alignment vertical="top" wrapText="1"/>
    </x:xf>
    <x:xf numFmtId="200" fontId="6" fillId="0" borderId="21" xfId="0" applyNumberFormat="1" applyFont="1" applyFill="1" applyBorder="1" applyAlignment="1">
      <x:alignment vertical="top" wrapText="1"/>
    </x:xf>
    <x:xf numFmtId="201" fontId="6" fillId="0" borderId="9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1" fontId="6" fillId="0" borderId="14" xfId="0" applyNumberFormat="1" applyFont="1" applyFill="1" applyBorder="1" applyAlignment="1">
      <x:alignment vertical="top" wrapText="1"/>
    </x:xf>
    <x:xf numFmtId="201" fontId="6" fillId="0" borderId="17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201" fontId="6" fillId="0" borderId="22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horizontal="center" vertical="top" wrapText="1"/>
    </x:xf>
    <x:xf numFmtId="0" fontId="6" fillId="0" borderId="9" xfId="0" applyNumberFormat="1" applyFont="1" applyFill="1" applyBorder="1" applyAlignment="1">
      <x:alignment horizontal="center" vertical="top" wrapText="1"/>
    </x:xf>
    <x:xf numFmtId="200" fontId="6" fillId="0" borderId="11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200" fontId="6" fillId="0" borderId="13" xfId="0" applyNumberFormat="1" applyFont="1" applyFill="1" applyBorder="1" applyAlignment="1">
      <x:alignment horizontal="center" vertical="top" wrapText="1"/>
    </x:xf>
    <x:xf numFmtId="0" fontId="6" fillId="0" borderId="14" xfId="0" applyNumberFormat="1" applyFont="1" applyFill="1" applyBorder="1" applyAlignment="1">
      <x:alignment horizontal="center" vertical="top" wrapText="1"/>
    </x:xf>
    <x:xf numFmtId="200" fontId="6" fillId="0" borderId="16" xfId="0" applyNumberFormat="1" applyFont="1" applyFill="1" applyBorder="1" applyAlignment="1">
      <x:alignment horizontal="center" vertical="top" wrapText="1"/>
    </x:xf>
    <x:xf numFmtId="0" fontId="6" fillId="0" borderId="17" xfId="0" applyNumberFormat="1" applyFont="1" applyFill="1" applyBorder="1" applyAlignment="1">
      <x:alignment horizontal="center" vertical="top" wrapText="1"/>
    </x:xf>
    <x:xf numFmtId="200" fontId="6" fillId="0" borderId="19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200" fontId="6" fillId="0" borderId="21" xfId="0" applyNumberFormat="1" applyFont="1" applyFill="1" applyBorder="1" applyAlignment="1">
      <x:alignment horizontal="center" vertical="top" wrapText="1"/>
    </x:xf>
    <x:xf numFmtId="0" fontId="6" fillId="0" borderId="22" xfId="0" applyNumberFormat="1" applyFont="1" applyFill="1" applyBorder="1" applyAlignment="1">
      <x:alignment horizontal="center" vertical="top" wrapText="1"/>
    </x:xf>
    <x:xf numFmtId="201" fontId="6" fillId="0" borderId="9" xfId="0" applyNumberFormat="1" applyFont="1" applyFill="1" applyBorder="1" applyAlignment="1">
      <x:alignment horizontal="center" vertical="top" wrapText="1"/>
    </x:xf>
    <x:xf numFmtId="201" fontId="6" fillId="0" borderId="0" xfId="0" applyNumberFormat="1" applyFont="1" applyFill="1" applyBorder="1" applyAlignment="1">
      <x:alignment horizontal="center" vertical="top" wrapText="1"/>
    </x:xf>
    <x:xf numFmtId="201" fontId="6" fillId="0" borderId="14" xfId="0" applyNumberFormat="1" applyFont="1" applyFill="1" applyBorder="1" applyAlignment="1">
      <x:alignment horizontal="center" vertical="top" wrapText="1"/>
    </x:xf>
    <x:xf numFmtId="201" fontId="6" fillId="0" borderId="17" xfId="0" applyNumberFormat="1" applyFont="1" applyFill="1" applyBorder="1" applyAlignment="1">
      <x:alignment horizontal="center" vertical="top" wrapText="1"/>
    </x:xf>
    <x:xf numFmtId="201" fontId="6" fillId="0" borderId="1" xfId="0" applyNumberFormat="1" applyFont="1" applyFill="1" applyBorder="1" applyAlignment="1">
      <x:alignment horizontal="center" vertical="top" wrapText="1"/>
    </x:xf>
    <x:xf numFmtId="201" fontId="6" fillId="0" borderId="22" xfId="0" applyNumberFormat="1" applyFont="1" applyFill="1" applyBorder="1" applyAlignment="1">
      <x:alignment horizontal="center"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vertical="top" wrapText="1"/>
    </x:xf>
    <x:xf numFmtId="0" fontId="7" fillId="0" borderId="23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9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horizontal="center" vertical="top" wrapText="1"/>
    </x:xf>
    <x:xf numFmtId="0" fontId="6" fillId="6" borderId="17" xfId="0" applyNumberFormat="1" applyFont="1" applyFill="1" applyBorder="1" applyAlignment="1">
      <x:alignment horizontal="center"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7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horizontal="center" vertical="top" wrapText="1"/>
    </x:xf>
    <x:xf numFmtId="0" fontId="6" fillId="6" borderId="22" xfId="0" applyNumberFormat="1" applyFont="1" applyFill="1" applyBorder="1" applyAlignment="1">
      <x:alignment horizontal="center" vertical="top" wrapText="1"/>
    </x:xf>
    <x:xf numFmtId="0" fontId="6" fillId="6" borderId="14" xfId="0" applyNumberFormat="1" applyFont="1" applyFill="1" applyBorder="1" applyAlignment="1">
      <x:alignment vertical="top" wrapText="1"/>
    </x:xf>
    <x:xf numFmtId="0" fontId="6" fillId="6" borderId="22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26" xfId="0" applyNumberFormat="1" applyFont="1" applyFill="1" applyBorder="1" applyAlignment="1">
      <x:alignment vertical="top" wrapText="1"/>
    </x:xf>
    <x:xf numFmtId="0" fontId="7" fillId="0" borderId="27" xfId="0" applyNumberFormat="1" applyFont="1" applyFill="1" applyBorder="1" applyAlignment="1">
      <x:alignment vertical="top" wrapText="1"/>
    </x:xf>
    <x:xf numFmtId="0" fontId="7" fillId="0" borderId="28" xfId="0" applyNumberFormat="1" applyFont="1" applyFill="1" applyBorder="1" applyAlignment="1">
      <x:alignment vertical="top" wrapText="1"/>
    </x:xf>
    <x:xf numFmtId="0" fontId="7" fillId="0" borderId="29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8" xfId="0" applyNumberFormat="1" applyFont="1" applyFill="1" applyBorder="1"/>
    <x:xf numFmtId="0" fontId="2" fillId="9" borderId="9" xfId="0" applyNumberFormat="1" applyFont="1" applyFill="1" applyBorder="1"/>
    <x:xf numFmtId="0" fontId="2" fillId="9" borderId="10" xfId="0" applyNumberFormat="1" applyFont="1" applyFill="1" applyBorder="1"/>
    <x:xf numFmtId="0" fontId="2" fillId="9" borderId="11" xfId="0" applyNumberFormat="1" applyFont="1" applyFill="1" applyBorder="1"/>
    <x:xf numFmtId="0" fontId="2" fillId="9" borderId="12" xfId="0" applyNumberFormat="1" applyFont="1" applyFill="1" applyBorder="1"/>
    <x:xf numFmtId="0" fontId="2" fillId="9" borderId="13" xfId="0" applyNumberFormat="1" applyFont="1" applyFill="1" applyBorder="1"/>
    <x:xf numFmtId="0" fontId="2" fillId="9" borderId="14" xfId="0" applyNumberFormat="1" applyFont="1" applyFill="1" applyBorder="1"/>
    <x:xf numFmtId="0" fontId="2" fillId="9" borderId="15" xfId="0" applyNumberFormat="1" applyFont="1" applyFill="1" applyBorder="1"/>
    <x:xf numFmtId="0" fontId="2" fillId="9" borderId="8" xfId="0" applyNumberFormat="1" applyFont="1" applyFill="1" applyBorder="1" applyAlignment="1">
      <x:alignment wrapText="1"/>
    </x:xf>
    <x:xf numFmtId="0" fontId="2" fillId="9" borderId="9" xfId="0" applyNumberFormat="1" applyFont="1" applyFill="1" applyBorder="1" applyAlignment="1">
      <x:alignment wrapText="1"/>
    </x:xf>
    <x:xf numFmtId="0" fontId="2" fillId="9" borderId="10" xfId="0" applyNumberFormat="1" applyFont="1" applyFill="1" applyBorder="1" applyAlignment="1">
      <x:alignment wrapText="1"/>
    </x:xf>
    <x:xf numFmtId="0" fontId="2" fillId="9" borderId="11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12" xfId="0" applyNumberFormat="1" applyFont="1" applyFill="1" applyBorder="1" applyAlignment="1">
      <x:alignment wrapText="1"/>
    </x:xf>
    <x:xf numFmtId="0" fontId="2" fillId="9" borderId="13" xfId="0" applyNumberFormat="1" applyFont="1" applyFill="1" applyBorder="1" applyAlignment="1">
      <x:alignment wrapText="1"/>
    </x:xf>
    <x:xf numFmtId="0" fontId="2" fillId="9" borderId="14" xfId="0" applyNumberFormat="1" applyFont="1" applyFill="1" applyBorder="1" applyAlignment="1">
      <x:alignment wrapText="1"/>
    </x:xf>
    <x:xf numFmtId="0" fontId="2" fillId="9" borderId="15" xfId="0" applyNumberFormat="1" applyFont="1" applyFill="1" applyBorder="1" applyAlignment="1">
      <x:alignment wrapText="1"/>
    </x:xf>
    <x:xf numFmtId="0" fontId="2" fillId="9" borderId="8" xfId="0" applyNumberFormat="1" applyFont="1" applyFill="1" applyBorder="1" applyAlignment="1">
      <x:alignment vertical="center" wrapText="1"/>
    </x:xf>
    <x:xf numFmtId="0" fontId="2" fillId="9" borderId="9" xfId="0" applyNumberFormat="1" applyFont="1" applyFill="1" applyBorder="1" applyAlignment="1">
      <x:alignment vertical="center" wrapText="1"/>
    </x:xf>
    <x:xf numFmtId="0" fontId="2" fillId="9" borderId="10" xfId="0" applyNumberFormat="1" applyFont="1" applyFill="1" applyBorder="1" applyAlignment="1">
      <x:alignment vertical="center" wrapText="1"/>
    </x:xf>
    <x:xf numFmtId="0" fontId="2" fillId="9" borderId="11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2" fillId="9" borderId="12" xfId="0" applyNumberFormat="1" applyFont="1" applyFill="1" applyBorder="1" applyAlignment="1">
      <x:alignment vertical="center" wrapText="1"/>
    </x:xf>
    <x:xf numFmtId="0" fontId="2" fillId="9" borderId="13" xfId="0" applyNumberFormat="1" applyFont="1" applyFill="1" applyBorder="1" applyAlignment="1">
      <x:alignment vertical="center" wrapText="1"/>
    </x:xf>
    <x:xf numFmtId="0" fontId="2" fillId="9" borderId="14" xfId="0" applyNumberFormat="1" applyFont="1" applyFill="1" applyBorder="1" applyAlignment="1">
      <x:alignment vertical="center" wrapText="1"/>
    </x:xf>
    <x:xf numFmtId="0" fontId="2" fillId="9" borderId="15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6" xfId="0" applyNumberFormat="1" applyFont="1" applyFill="1" applyBorder="1"/>
    <x:xf numFmtId="0" fontId="2" fillId="9" borderId="17" xfId="0" applyNumberFormat="1" applyFont="1" applyFill="1" applyBorder="1"/>
    <x:xf numFmtId="0" fontId="2" fillId="9" borderId="18" xfId="0" applyNumberFormat="1" applyFont="1" applyFill="1" applyBorder="1"/>
    <x:xf numFmtId="0" fontId="2" fillId="9" borderId="19" xfId="0" applyNumberFormat="1" applyFont="1" applyFill="1" applyBorder="1"/>
    <x:xf numFmtId="0" fontId="2" fillId="9" borderId="20" xfId="0" applyNumberFormat="1" applyFont="1" applyFill="1" applyBorder="1"/>
    <x:xf numFmtId="0" fontId="2" fillId="9" borderId="21" xfId="0" applyNumberFormat="1" applyFont="1" applyFill="1" applyBorder="1"/>
    <x:xf numFmtId="0" fontId="2" fillId="9" borderId="22" xfId="0" applyNumberFormat="1" applyFont="1" applyFill="1" applyBorder="1"/>
    <x:xf numFmtId="0" fontId="2" fillId="9" borderId="23" xfId="0" applyNumberFormat="1" applyFont="1" applyFill="1" applyBorder="1"/>
    <x:xf numFmtId="0" fontId="2" fillId="9" borderId="16" xfId="0" applyNumberFormat="1" applyFont="1" applyFill="1" applyBorder="1" applyAlignment="1">
      <x:alignment wrapText="1"/>
    </x:xf>
    <x:xf numFmtId="0" fontId="2" fillId="9" borderId="17" xfId="0" applyNumberFormat="1" applyFont="1" applyFill="1" applyBorder="1" applyAlignment="1">
      <x:alignment wrapText="1"/>
    </x:xf>
    <x:xf numFmtId="0" fontId="2" fillId="9" borderId="18" xfId="0" applyNumberFormat="1" applyFont="1" applyFill="1" applyBorder="1" applyAlignment="1">
      <x:alignment wrapText="1"/>
    </x:xf>
    <x:xf numFmtId="0" fontId="2" fillId="9" borderId="19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20" xfId="0" applyNumberFormat="1" applyFont="1" applyFill="1" applyBorder="1" applyAlignment="1">
      <x:alignment wrapText="1"/>
    </x:xf>
    <x:xf numFmtId="0" fontId="2" fillId="9" borderId="21" xfId="0" applyNumberFormat="1" applyFont="1" applyFill="1" applyBorder="1" applyAlignment="1">
      <x:alignment wrapText="1"/>
    </x:xf>
    <x:xf numFmtId="0" fontId="2" fillId="9" borderId="22" xfId="0" applyNumberFormat="1" applyFont="1" applyFill="1" applyBorder="1" applyAlignment="1">
      <x:alignment wrapText="1"/>
    </x:xf>
    <x:xf numFmtId="0" fontId="2" fillId="9" borderId="23" xfId="0" applyNumberFormat="1" applyFont="1" applyFill="1" applyBorder="1" applyAlignment="1">
      <x:alignment wrapText="1"/>
    </x:xf>
    <x:xf numFmtId="0" fontId="2" fillId="9" borderId="16" xfId="0" applyNumberFormat="1" applyFont="1" applyFill="1" applyBorder="1" applyAlignment="1">
      <x:alignment vertical="center" wrapText="1"/>
    </x:xf>
    <x:xf numFmtId="0" fontId="2" fillId="9" borderId="17" xfId="0" applyNumberFormat="1" applyFont="1" applyFill="1" applyBorder="1" applyAlignment="1">
      <x:alignment vertical="center" wrapText="1"/>
    </x:xf>
    <x:xf numFmtId="0" fontId="2" fillId="9" borderId="18" xfId="0" applyNumberFormat="1" applyFont="1" applyFill="1" applyBorder="1" applyAlignment="1">
      <x:alignment vertical="center" wrapText="1"/>
    </x:xf>
    <x:xf numFmtId="0" fontId="2" fillId="9" borderId="19" xfId="0" applyNumberFormat="1" applyFont="1" applyFill="1" applyBorder="1" applyAlignment="1">
      <x:alignment vertical="center" wrapText="1"/>
    </x:xf>
    <x:xf numFmtId="0" fontId="2" fillId="9" borderId="1" xfId="0" applyNumberFormat="1" applyFont="1" applyFill="1" applyBorder="1" applyAlignment="1">
      <x:alignment vertical="center" wrapText="1"/>
    </x:xf>
    <x:xf numFmtId="0" fontId="2" fillId="9" borderId="20" xfId="0" applyNumberFormat="1" applyFont="1" applyFill="1" applyBorder="1" applyAlignment="1">
      <x:alignment vertical="center" wrapText="1"/>
    </x:xf>
    <x:xf numFmtId="0" fontId="2" fillId="9" borderId="21" xfId="0" applyNumberFormat="1" applyFont="1" applyFill="1" applyBorder="1" applyAlignment="1">
      <x:alignment vertical="center" wrapText="1"/>
    </x:xf>
    <x:xf numFmtId="0" fontId="2" fillId="9" borderId="22" xfId="0" applyNumberFormat="1" applyFont="1" applyFill="1" applyBorder="1" applyAlignment="1">
      <x:alignment vertical="center" wrapText="1"/>
    </x:xf>
    <x:xf numFmtId="0" fontId="2" fillId="9" borderId="23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6" xfId="0" applyNumberFormat="1" applyFont="1" applyFill="1" applyBorder="1"/>
    <x:xf numFmtId="0" fontId="5" fillId="2" borderId="3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6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4" xfId="0" applyNumberFormat="1" applyFont="1" applyFill="1" applyBorder="1"/>
    <x:xf numFmtId="0" fontId="5" fillId="2" borderId="7" xfId="0" applyNumberFormat="1" applyFont="1" applyFill="1" applyBorder="1"/>
    <x:xf numFmtId="0" fontId="5" fillId="2" borderId="5" xfId="0" applyNumberFormat="1" applyFont="1" applyFill="1" applyBorder="1"/>
    <x:xf numFmtId="0" fontId="5" fillId="2" borderId="4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vertical="top" wrapText="1"/>
    </x:xf>
    <x:xf numFmtId="0" fontId="6" fillId="5" borderId="17" xfId="0" applyNumberFormat="1" applyFont="1" applyFill="1" applyBorder="1" applyAlignment="1">
      <x:alignment vertical="top" wrapText="1"/>
    </x:xf>
    <x:xf numFmtId="0" fontId="6" fillId="5" borderId="18" xfId="0" applyNumberFormat="1" applyFont="1" applyFill="1" applyBorder="1" applyAlignment="1">
      <x:alignment vertical="top" wrapText="1"/>
    </x:xf>
    <x:xf numFmtId="0" fontId="6" fillId="3" borderId="1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12" xfId="0" applyNumberFormat="1" applyFont="1" applyFill="1" applyBorder="1" applyAlignment="1">
      <x:alignment vertical="top" wrapText="1"/>
    </x:xf>
    <x:xf numFmtId="0" fontId="6" fillId="3" borderId="19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3" borderId="20" xfId="0" applyNumberFormat="1" applyFont="1" applyFill="1" applyBorder="1" applyAlignment="1">
      <x:alignment vertical="top" wrapText="1"/>
    </x:xf>
    <x:xf numFmtId="0" fontId="6" fillId="6" borderId="13" xfId="0" applyNumberFormat="1" applyFont="1" applyFill="1" applyBorder="1" applyAlignment="1">
      <x:alignment vertical="top" wrapText="1"/>
    </x:xf>
    <x:xf numFmtId="0" fontId="6" fillId="6" borderId="15" xfId="0" applyNumberFormat="1" applyFont="1" applyFill="1" applyBorder="1" applyAlignment="1">
      <x:alignment vertical="top" wrapText="1"/>
    </x:xf>
    <x:xf numFmtId="0" fontId="6" fillId="6" borderId="21" xfId="0" applyNumberFormat="1" applyFont="1" applyFill="1" applyBorder="1" applyAlignment="1">
      <x:alignment vertical="top" wrapText="1"/>
    </x:xf>
    <x:xf numFmtId="0" fontId="6" fillId="6" borderId="23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3" xfId="0" applyNumberFormat="1" applyFont="1" applyFill="1" applyBorder="1"/>
    <x:xf numFmtId="0" fontId="10" fillId="3" borderId="14" xfId="0" applyNumberFormat="1" applyFont="1" applyFill="1" applyBorder="1"/>
    <x:xf numFmtId="0" fontId="10" fillId="3" borderId="15" xfId="0" applyNumberFormat="1" applyFont="1" applyFill="1" applyBorder="1"/>
    <x:xf numFmtId="0" fontId="10" fillId="3" borderId="8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10" fillId="3" borderId="14" xfId="0" applyNumberFormat="1" applyFont="1" applyFill="1" applyBorder="1" applyAlignment="1">
      <x:alignment wrapText="1"/>
    </x:xf>
    <x:xf numFmtId="0" fontId="10" fillId="3" borderId="15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horizontal="left" wrapText="1"/>
    </x:xf>
    <x:xf numFmtId="0" fontId="10" fillId="3" borderId="9" xfId="0" applyNumberFormat="1" applyFont="1" applyFill="1" applyBorder="1" applyAlignment="1">
      <x:alignment horizontal="left" wrapText="1"/>
    </x:xf>
    <x:xf numFmtId="0" fontId="10" fillId="3" borderId="10" xfId="0" applyNumberFormat="1" applyFont="1" applyFill="1" applyBorder="1" applyAlignment="1">
      <x:alignment horizontal="left" wrapText="1"/>
    </x:xf>
    <x:xf numFmtId="0" fontId="10" fillId="3" borderId="13" xfId="0" applyNumberFormat="1" applyFont="1" applyFill="1" applyBorder="1" applyAlignment="1">
      <x:alignment horizontal="left" wrapText="1"/>
    </x:xf>
    <x:xf numFmtId="0" fontId="10" fillId="3" borderId="14" xfId="0" applyNumberFormat="1" applyFont="1" applyFill="1" applyBorder="1" applyAlignment="1">
      <x:alignment horizontal="left" wrapText="1"/>
    </x:xf>
    <x:xf numFmtId="0" fontId="10" fillId="3" borderId="15" xfId="0" applyNumberFormat="1" applyFont="1" applyFill="1" applyBorder="1" applyAlignment="1">
      <x:alignment horizontal="left" wrapText="1"/>
    </x:xf>
    <x:xf numFmtId="0" fontId="10" fillId="3" borderId="8" xfId="0" applyNumberFormat="1" applyFont="1" applyFill="1" applyBorder="1" applyAlignment="1">
      <x:alignment horizontal="left" vertical="center" wrapText="1"/>
    </x:xf>
    <x:xf numFmtId="0" fontId="10" fillId="3" borderId="9" xfId="0" applyNumberFormat="1" applyFont="1" applyFill="1" applyBorder="1" applyAlignment="1">
      <x:alignment horizontal="left" vertical="center" wrapText="1"/>
    </x:xf>
    <x:xf numFmtId="0" fontId="10" fillId="3" borderId="10" xfId="0" applyNumberFormat="1" applyFont="1" applyFill="1" applyBorder="1" applyAlignment="1">
      <x:alignment horizontal="left" vertical="center" wrapText="1"/>
    </x:xf>
    <x:xf numFmtId="0" fontId="10" fillId="3" borderId="13" xfId="0" applyNumberFormat="1" applyFont="1" applyFill="1" applyBorder="1" applyAlignment="1">
      <x:alignment horizontal="left" vertical="center" wrapText="1"/>
    </x:xf>
    <x:xf numFmtId="0" fontId="10" fillId="3" borderId="14" xfId="0" applyNumberFormat="1" applyFont="1" applyFill="1" applyBorder="1" applyAlignment="1">
      <x:alignment horizontal="left" vertical="center" wrapText="1"/>
    </x:xf>
    <x:xf numFmtId="0" fontId="10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d676be3114865" /><Relationship Type="http://schemas.openxmlformats.org/officeDocument/2006/relationships/theme" Target="/xl/theme/theme1.xml" Id="R3d7694418a13433d" /><Relationship Type="http://schemas.openxmlformats.org/officeDocument/2006/relationships/sharedStrings" Target="/xl/sharedStrings.xml" Id="Rfe0fea6b6aea4c12" /><Relationship Type="http://schemas.openxmlformats.org/officeDocument/2006/relationships/worksheet" Target="/xl/worksheets/sheet1.xml" Id="R9e2bbc5d115e46b3" /><Relationship Type="http://schemas.openxmlformats.org/officeDocument/2006/relationships/worksheet" Target="/xl/worksheets/sheet2.xml" Id="Rb460e7ddead74eba" /><Relationship Type="http://schemas.openxmlformats.org/officeDocument/2006/relationships/worksheet" Target="/xl/worksheets/sheet3.xml" Id="R315fdcfb695946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d3ab0a197040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Number of listed events by venue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Listed events</c:v>
          </c:tx>
          <c:cat>
            <c:strRef>
              <c:f>'Venue caps'!$A$5:$A$15</c:f>
              <c:strCache>
                <c:ptCount val="0"/>
              </c:strCache>
            </c:strRef>
          </c:cat>
          <c:val>
            <c:numRef>
              <c:f>'Venue caps'!$B$5:$B$15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d3ab0a197040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entsTable" displayName="EventsTable" ref="A7:M35" headerRowCount="1">
  <x:tableColumns count="13">
    <x:tableColumn id="1" name="Date"/>
    <x:tableColumn id="2" name="Time"/>
    <x:tableColumn id="3" name="Event"/>
    <x:tableColumn id="4" name="Venue"/>
    <x:tableColumn id="5" name="Ticket cost"/>
    <x:tableColumn id="6" name="Price / status note"/>
    <x:tableColumn id="7" name="Seat cap"/>
    <x:tableColumn id="8" name="Capacity confidence"/>
    <x:tableColumn id="9" name="Capacity basis"/>
    <x:tableColumn id="10" name="Required minimum"/>
    <x:tableColumn id="11" name="Caveat"/>
    <x:tableColumn id="12" name="Ticket source URL"/>
    <x:tableColumn id="13" name="Capacity 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VenueCapsTable" displayName="VenueCapsTable" ref="A4:F15" headerRowCount="1">
  <x:tableColumns count="6">
    <x:tableColumn id="1" name="Venue"/>
    <x:tableColumn id="2" name="Listed events"/>
    <x:tableColumn id="3" name="Working cap"/>
    <x:tableColumn id="4" name="Confidence"/>
    <x:tableColumn id="5" name="Basis"/>
    <x:tableColumn id="6" name="Capacity 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7da79302814b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da1080b5dbe42d1" /><Relationship Type="http://schemas.openxmlformats.org/officeDocument/2006/relationships/table" Target="/xl/tables/table2.xml" Id="R895ef00ce52049d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4" hidden="0" customWidth="1"/>
    <x:col min="4" max="4" width="28" hidden="0" customWidth="1"/>
    <x:col min="5" max="5" width="28" hidden="0" customWidth="1"/>
    <x:col min="6" max="6" width="42" hidden="0" customWidth="1"/>
    <x:col min="7" max="7" width="11" hidden="0" customWidth="1"/>
    <x:col min="8" max="8" width="24" hidden="0" customWidth="1"/>
    <x:col min="9" max="9" width="45" hidden="0" customWidth="1"/>
    <x:col min="10" max="10" width="36" hidden="0" customWidth="1"/>
    <x:col min="11" max="11" width="48" hidden="0" customWidth="1"/>
    <x:col min="12" max="12" width="43" hidden="0" customWidth="1"/>
    <x:col min="13" max="13" width="43" hidden="0" customWidth="1"/>
  </x:cols>
  <x:sheetData>
    <x:row r="1" ht="34" customHeight="1">
      <x:c r="A1" s="5" t="str">
        <x:v>Cape Cod comedy events — ticket costs and seat caps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13" t="str">
        <x:v>Research refreshed July 19, 2026. Ticket prices can change; fees are identified where the listing exposed them. Estimated capacities are labeled.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23" customHeight="1">
      <x:c r="A4" s="23" t="str">
        <x:v>Events</x:v>
      </x:c>
      <x:c r="B4" s="24"/>
      <x:c r="C4" s="23" t="str">
        <x:v>Published / exact caps</x:v>
      </x:c>
      <x:c r="D4" s="24"/>
      <x:c r="E4" s="23" t="str">
        <x:v>Educated estimates</x:v>
      </x:c>
      <x:c r="F4" s="24"/>
      <x:c r="G4" s="23" t="str">
        <x:v>Mandatory minimums</x:v>
      </x:c>
      <x:c r="H4" s="24"/>
      <x:c r="I4" s="23" t="str">
        <x:v>Sold-out performances</x:v>
      </x:c>
      <x:c r="J4" s="24"/>
      <x:c r="K4" s="23" t="str">
        <x:v>Research refreshed</x:v>
      </x:c>
      <x:c r="L4" s="98"/>
      <x:c r="M4" s="24"/>
    </x:row>
    <x:row r="5" ht="23" customHeight="1">
      <x:c r="A5" s="38" t="n">
        <x:f>COUNTA($C$8:$C$35)</x:f>
        <x:v>28</x:v>
      </x:c>
      <x:c r="B5" s="39"/>
      <x:c r="C5" s="54" t="n">
        <x:f>COUNTIF($H$8:$H$35,"Exact auditorium capacity")+COUNTIF($H$8:$H$35,"Exact venue capacity")+COUNTIF($H$8:$H$35,"Published occupant load")+COUNTIF($H$8:$H$35,"Published venue maximum")</x:f>
        <x:v>14</x:v>
      </x:c>
      <x:c r="D5" s="55"/>
      <x:c r="E5" s="70" t="n">
        <x:f>COUNTIF($H$8:$H$35,"Educated estimate")</x:f>
        <x:v>14</x:v>
      </x:c>
      <x:c r="F5" s="71"/>
      <x:c r="G5" s="54" t="n">
        <x:f>COUNTIF($J$8:$J$35,"Mandatory two-drink minimum")</x:f>
        <x:v>0</x:v>
      </x:c>
      <x:c r="H5" s="55"/>
      <x:c r="I5" s="86" t="n">
        <x:f>COUNTIF($E$8:$E$35,"Sold out; resale ≈$182+")+COUNTIF($E$8:$E$35,"Sold out; resale ≈$145+")+COUNTIF($E$8:$E$35,"$87.65–$174.65; sold out")</x:f>
        <x:v>3</x:v>
      </x:c>
      <x:c r="J5" s="87"/>
      <x:c r="K5" s="122" t="n">
        <x:f>DATE(2026,7,19)</x:f>
        <x:v>46222</x:v>
      </x:c>
      <x:c r="L5" s="123"/>
      <x:c r="M5" s="124"/>
    </x:row>
    <x:row r="7" ht="34" customHeight="1">
      <x:c r="A7" s="132" t="str">
        <x:v>Date</x:v>
      </x:c>
      <x:c r="B7" s="132" t="str">
        <x:v>Time</x:v>
      </x:c>
      <x:c r="C7" s="132" t="str">
        <x:v>Event</x:v>
      </x:c>
      <x:c r="D7" s="132" t="str">
        <x:v>Venue</x:v>
      </x:c>
      <x:c r="E7" s="132" t="str">
        <x:v>Ticket cost</x:v>
      </x:c>
      <x:c r="F7" s="132" t="str">
        <x:v>Price / status note</x:v>
      </x:c>
      <x:c r="G7" s="132" t="str">
        <x:v>Seat cap</x:v>
      </x:c>
      <x:c r="H7" s="132" t="str">
        <x:v>Capacity confidence</x:v>
      </x:c>
      <x:c r="I7" s="132" t="str">
        <x:v>Capacity basis</x:v>
      </x:c>
      <x:c r="J7" s="132" t="str">
        <x:v>Required minimum</x:v>
      </x:c>
      <x:c r="K7" s="132" t="str">
        <x:v>Caveat</x:v>
      </x:c>
      <x:c r="L7" s="132" t="str">
        <x:v>Ticket source URL</x:v>
      </x:c>
      <x:c r="M7" s="132" t="str">
        <x:v>Capacity source URL</x:v>
      </x:c>
    </x:row>
    <x:row r="8" ht="66" customHeight="1">
      <x:c r="A8" s="172" t="n">
        <x:v>46205</x:v>
      </x:c>
      <x:c r="B8" s="173" t="str">
        <x:v>8:00 PM</x:v>
      </x:c>
      <x:c r="C8" s="145" t="str">
        <x:v>Paperback &amp; Friends</x:v>
      </x:c>
      <x:c r="D8" s="145" t="str">
        <x:v>Naukabout Beer Co.</x:v>
      </x:c>
      <x:c r="E8" s="145" t="str">
        <x:v>From $28.52</x:v>
      </x:c>
      <x:c r="F8" s="145" t="str">
        <x:v>Eventbrite displayed an all-in starting price. Historical price for a past event.</x:v>
      </x:c>
      <x:c r="G8" s="184" t="n">
        <x:v>250</x:v>
      </x:c>
      <x:c r="H8" s="208" t="str">
        <x:v>Educated estimate</x:v>
      </x:c>
      <x:c r="I8" s="145" t="str">
        <x:v>10,000 sq ft patio/taproom; private-event material advertises up to 300 seated. Working comedy cap set at 250.</x:v>
      </x:c>
      <x:c r="J8" s="210" t="str">
        <x:v>No two-drink minimum; 2-item recommendation only</x:v>
      </x:c>
      <x:c r="K8" s="145" t="str">
        <x:v>Show-specific layout is unpublished; the working estimate is below the venue's advertised private-event maximum.</x:v>
      </x:c>
      <x:c r="L8" s="196" t="str">
        <x:v>https://www.eventbrite.com/e/naukabout-comedy-night-live-naukabout-brewing-tickets-1988660980526</x:v>
      </x:c>
      <x:c r="M8" s="191" t="str">
        <x:v>https://www.naukabout.com/brewery
https://www.zola.com/wedding-vendors/wedding-venues/naukabout-brewery-and-taproom</x:v>
      </x:c>
    </x:row>
    <x:row r="9" ht="66" customHeight="1">
      <x:c r="A9" s="174" t="n">
        <x:v>46208</x:v>
      </x:c>
      <x:c r="B9" s="175" t="str">
        <x:v>8:00 PM</x:v>
      </x:c>
      <x:c r="C9" s="140" t="str">
        <x:v>Lenny Clarke, Christine Hurley &amp; Carolyn Plummer</x:v>
      </x:c>
      <x:c r="D9" s="140" t="str">
        <x:v>Skippy's Pier One</x:v>
      </x:c>
      <x:c r="E9" s="140" t="str">
        <x:v>$40</x:v>
      </x:c>
      <x:c r="F9" s="140" t="str">
        <x:v>Poster/social price; the venue directs buyers to call or use linked ticketing. Historical.</x:v>
      </x:c>
      <x:c r="G9" s="185" t="n">
        <x:v>252</x:v>
      </x:c>
      <x:c r="H9" s="212" t="str">
        <x:v>Published occupant load</x:v>
      </x:c>
      <x:c r="I9" s="140" t="str">
        <x:v>A 2022 municipal certificate lists a first-floor occupant load of 252.</x:v>
      </x:c>
      <x:c r="J9" s="140" t="str">
        <x:v>No two-drink minimum found</x:v>
      </x:c>
      <x:c r="K9" s="140" t="str">
        <x:v>The occupant load is not the same as the number of chairs with a clear view of the comedy stage.</x:v>
      </x:c>
      <x:c r="L9" s="197" t="str">
        <x:v>https://www.skippyspier1.com/2026-events</x:v>
      </x:c>
      <x:c r="M9" s="193" t="str">
        <x:v>https://lf.yarmouth.ma.us/WebLink/DocView.aspx?dbid=0&amp;id=1690030&amp;repo=LASERFICHE</x:v>
      </x:c>
    </x:row>
    <x:row r="10" ht="66" customHeight="1">
      <x:c r="A10" s="174" t="n">
        <x:v>46209</x:v>
      </x:c>
      <x:c r="B10" s="175" t="str">
        <x:v>8:00 PM</x:v>
      </x:c>
      <x:c r="C10" s="140" t="str">
        <x:v>Lenny Clarke, Steve Sweeney &amp; Carolyn Plummer</x:v>
      </x:c>
      <x:c r="D10" s="140" t="str">
        <x:v>Skippy's Pier One</x:v>
      </x:c>
      <x:c r="E10" s="140" t="str">
        <x:v>$40</x:v>
      </x:c>
      <x:c r="F10" s="140" t="str">
        <x:v>Poster/social price; the venue directs buyers to call or use linked ticketing. Historical.</x:v>
      </x:c>
      <x:c r="G10" s="185" t="n">
        <x:v>252</x:v>
      </x:c>
      <x:c r="H10" s="212" t="str">
        <x:v>Published occupant load</x:v>
      </x:c>
      <x:c r="I10" s="140" t="str">
        <x:v>A 2022 municipal certificate lists a first-floor occupant load of 252.</x:v>
      </x:c>
      <x:c r="J10" s="140" t="str">
        <x:v>No two-drink minimum found</x:v>
      </x:c>
      <x:c r="K10" s="140" t="str">
        <x:v>The occupant load is not the same as the number of chairs with a clear view of the comedy stage.</x:v>
      </x:c>
      <x:c r="L10" s="197" t="str">
        <x:v>https://www.skippyspier1.com/2026-events</x:v>
      </x:c>
      <x:c r="M10" s="193" t="str">
        <x:v>https://lf.yarmouth.ma.us/WebLink/DocView.aspx?dbid=0&amp;id=1690030&amp;repo=LASERFICHE</x:v>
      </x:c>
    </x:row>
    <x:row r="11" ht="66" customHeight="1">
      <x:c r="A11" s="174" t="n">
        <x:v>46211</x:v>
      </x:c>
      <x:c r="B11" s="175" t="str">
        <x:v>8:00 PM</x:v>
      </x:c>
      <x:c r="C11" s="140" t="str">
        <x:v>Comedy Night: Dutchess SS</x:v>
      </x:c>
      <x:c r="D11" s="140" t="str">
        <x:v>Red Nun Bar &amp; Grill</x:v>
      </x:c>
      <x:c r="E11" s="218" t="str">
        <x:v>Free</x:v>
      </x:c>
      <x:c r="F11" s="140" t="str">
        <x:v>Free series listing; reservations were encouraged. Historical.</x:v>
      </x:c>
      <x:c r="G11" s="185" t="n">
        <x:v>100</x:v>
      </x:c>
      <x:c r="H11" s="214" t="str">
        <x:v>Educated estimate</x:v>
      </x:c>
      <x:c r="I11" s="140" t="str">
        <x:v>Compact Dennis Port pub/restaurant; working estimate of roughly 100.</x:v>
      </x:c>
      <x:c r="J11" s="140" t="str">
        <x:v>No two-drink minimum found</x:v>
      </x:c>
      <x:c r="K11" s="220" t="str">
        <x:v>Date correction: official listings show Wednesday, July 8; the source document listed Thursday, July 9. No posted fire-code/show cap was found.</x:v>
      </x:c>
      <x:c r="L11" s="197" t="str">
        <x:v>https://www.eventbrite.com/e/red-nun-comedy-summer-series-tickets-1992145359397</x:v>
      </x:c>
      <x:c r="M11" s="193" t="str">
        <x:v>https://rednun.com/</x:v>
      </x:c>
    </x:row>
    <x:row r="12" ht="66" customHeight="1">
      <x:c r="A12" s="174" t="n">
        <x:v>46212</x:v>
      </x:c>
      <x:c r="B12" s="175" t="str">
        <x:v>8:00 PM</x:v>
      </x:c>
      <x:c r="C12" s="140" t="str">
        <x:v>"Fitzy" Nick Stevens</x:v>
      </x:c>
      <x:c r="D12" s="140" t="str">
        <x:v>Naukabout Beer Co.</x:v>
      </x:c>
      <x:c r="E12" s="140" t="str">
        <x:v>From $19.98</x:v>
      </x:c>
      <x:c r="F12" s="140" t="str">
        <x:v>Eventbrite exact-event starting price. Historical.</x:v>
      </x:c>
      <x:c r="G12" s="185" t="n">
        <x:v>250</x:v>
      </x:c>
      <x:c r="H12" s="214" t="str">
        <x:v>Educated estimate</x:v>
      </x:c>
      <x:c r="I12" s="140" t="str">
        <x:v>10,000 sq ft patio/taproom; private-event material advertises up to 300 seated. Working comedy cap set at 250.</x:v>
      </x:c>
      <x:c r="J12" s="220" t="str">
        <x:v>No two-drink minimum; 2-item recommendation only</x:v>
      </x:c>
      <x:c r="K12" s="140" t="str">
        <x:v>Show-specific layout is unpublished; the working estimate is below the venue's advertised private-event maximum.</x:v>
      </x:c>
      <x:c r="L12" s="197" t="str">
        <x:v>https://www.eventbrite.com/e/fitzy-nick-stevens-live-naukabout-brewing-tickets-1988653077889</x:v>
      </x:c>
      <x:c r="M12" s="193" t="str">
        <x:v>https://www.naukabout.com/brewery
https://www.zola.com/wedding-vendors/wedding-venues/naukabout-brewery-and-taproom</x:v>
      </x:c>
    </x:row>
    <x:row r="13" ht="66" customHeight="1">
      <x:c r="A13" s="174" t="n">
        <x:v>46213</x:v>
      </x:c>
      <x:c r="B13" s="175" t="str">
        <x:v>8:00 PM</x:v>
      </x:c>
      <x:c r="C13" s="140" t="str">
        <x:v>Cape Cod Comedy — Mae &amp; Sarah Birthday Show</x:v>
      </x:c>
      <x:c r="D13" s="140" t="str">
        <x:v>House of Hatchets</x:v>
      </x:c>
      <x:c r="E13" s="140" t="str">
        <x:v>From $23.18</x:v>
      </x:c>
      <x:c r="F13" s="140" t="str">
        <x:v>Eventbrite all-in starting price. Historical.</x:v>
      </x:c>
      <x:c r="G13" s="185" t="n">
        <x:v>100</x:v>
      </x:c>
      <x:c r="H13" s="214" t="str">
        <x:v>Educated estimate</x:v>
      </x:c>
      <x:c r="I13" s="140" t="str">
        <x:v>Bar/axe venue with a newly expanded event area; working estimate of roughly 100.</x:v>
      </x:c>
      <x:c r="J13" s="140" t="str">
        <x:v>No two-drink minimum found</x:v>
      </x:c>
      <x:c r="K13" s="140" t="str">
        <x:v>No public fire-code or show-specific cap was found.</x:v>
      </x:c>
      <x:c r="L13" s="197" t="str">
        <x:v>https://www.eventbrite.com/e/cape-cod-comedy-mae-sarah-birthday-show-tickets-1992802943248</x:v>
      </x:c>
      <x:c r="M13" s="193" t="str">
        <x:v>https://www.capecodaxe.com/</x:v>
      </x:c>
    </x:row>
    <x:row r="14" ht="66" customHeight="1">
      <x:c r="A14" s="174" t="n">
        <x:v>46215</x:v>
      </x:c>
      <x:c r="B14" s="175" t="str">
        <x:v>8:30 PM</x:v>
      </x:c>
      <x:c r="C14" s="140" t="str">
        <x:v>Alyssa Edwards — Stand-Up Comedy</x:v>
      </x:c>
      <x:c r="D14" s="140" t="str">
        <x:v>Provincetown Town Hall</x:v>
      </x:c>
      <x:c r="E14" s="140" t="str">
        <x:v>$50 / $75 / $100 / $150 + fees</x:v>
      </x:c>
      <x:c r="F14" s="140" t="str">
        <x:v>Four ticket levels; service fees added.</x:v>
      </x:c>
      <x:c r="G14" s="185" t="n">
        <x:v>708</x:v>
      </x:c>
      <x:c r="H14" s="212" t="str">
        <x:v>Exact auditorium capacity</x:v>
      </x:c>
      <x:c r="I14" s="140" t="str">
        <x:v>428 on the floor, including 8 wheelchair spaces, plus a 280-seat balcony.</x:v>
      </x:c>
      <x:c r="J14" s="140" t="str">
        <x:v>No two-drink minimum found</x:v>
      </x:c>
      <x:c r="K14" s="140" t="str">
        <x:v>The total includes 8 wheelchair spaces.</x:v>
      </x:c>
      <x:c r="L14" s="197" t="str">
        <x:v>https://ptown.org/events/alyssa-edwards-stand-up-comedy/</x:v>
      </x:c>
      <x:c r="M14" s="193" t="str">
        <x:v>https://www.provincetown-ma.gov/facilities/facility/details/Townhall-Auditorium-1</x:v>
      </x:c>
    </x:row>
    <x:row r="15" ht="66" customHeight="1">
      <x:c r="A15" s="174" t="n">
        <x:v>46219</x:v>
      </x:c>
      <x:c r="B15" s="175" t="str">
        <x:v>8:00 PM</x:v>
      </x:c>
      <x:c r="C15" s="140" t="str">
        <x:v>Eddie Ifft &amp; Friends</x:v>
      </x:c>
      <x:c r="D15" s="140" t="str">
        <x:v>Naukabout Beer Co.</x:v>
      </x:c>
      <x:c r="E15" s="140" t="str">
        <x:v>From $15.18</x:v>
      </x:c>
      <x:c r="F15" s="140" t="str">
        <x:v>Eventbrite all-in starting price; some mirrors showed a $12.50 base or $15 rounded price. Historical.</x:v>
      </x:c>
      <x:c r="G15" s="185" t="n">
        <x:v>250</x:v>
      </x:c>
      <x:c r="H15" s="214" t="str">
        <x:v>Educated estimate</x:v>
      </x:c>
      <x:c r="I15" s="140" t="str">
        <x:v>10,000 sq ft patio/taproom; private-event material advertises up to 300 seated. Working comedy cap set at 250.</x:v>
      </x:c>
      <x:c r="J15" s="220" t="str">
        <x:v>No two-drink minimum; 2-item recommendation only</x:v>
      </x:c>
      <x:c r="K15" s="140" t="str">
        <x:v>Show-specific layout is unpublished; the working estimate is below the venue's advertised private-event maximum.</x:v>
      </x:c>
      <x:c r="L15" s="197" t="str">
        <x:v>https://www.eventbrite.com/e/eddie-ifft-live-naukabout-brewing-tickets-1987872028750</x:v>
      </x:c>
      <x:c r="M15" s="193" t="str">
        <x:v>https://www.naukabout.com/brewery
https://www.zola.com/wedding-vendors/wedding-venues/naukabout-brewery-and-taproom</x:v>
      </x:c>
    </x:row>
    <x:row r="16" ht="66" customHeight="1">
      <x:c r="A16" s="174" t="n">
        <x:v>46221</x:v>
      </x:c>
      <x:c r="B16" s="175" t="str">
        <x:v>7:00 PM</x:v>
      </x:c>
      <x:c r="C16" s="140" t="str">
        <x:v>Comics on Tap @ Oak Bay Brewery</x:v>
      </x:c>
      <x:c r="D16" s="140" t="str">
        <x:v>Oak Bay Brewery</x:v>
      </x:c>
      <x:c r="E16" s="140" t="str">
        <x:v>From $15.18</x:v>
      </x:c>
      <x:c r="F16" s="140" t="str">
        <x:v>Eventbrite all-in starting price; a 2-for-1 ticket offer surfaced. It was not a drink minimum. Historical.</x:v>
      </x:c>
      <x:c r="G16" s="185" t="n">
        <x:v>100</x:v>
      </x:c>
      <x:c r="H16" s="214" t="str">
        <x:v>Educated estimate</x:v>
      </x:c>
      <x:c r="I16" s="140" t="str">
        <x:v>Municipal licensing minutes describe a small restaurant and small-batch brewery with indoor and outdoor seating; working comedy cap set at 100.</x:v>
      </x:c>
      <x:c r="J16" s="140" t="str">
        <x:v>No two-drink minimum; 2-for-1 was a ticket promotion</x:v>
      </x:c>
      <x:c r="K16" s="140" t="str">
        <x:v>The exact stage location and the share of the venue used for the show were not published.</x:v>
      </x:c>
      <x:c r="L16" s="197" t="str">
        <x:v>https://www.eventbrite.com/e/comics-on-tap-oak-bay-brewery-tickets-1991428304667</x:v>
      </x:c>
      <x:c r="M16" s="193" t="str">
        <x:v>https://barnstable.gov/BoardsCommittees/LicensingAuthority/Minutes/2023/07_24_23__Licensing_Authority_Approved_Minutes.pdf</x:v>
      </x:c>
    </x:row>
    <x:row r="17" ht="66" customHeight="1">
      <x:c r="A17" s="174" t="n">
        <x:v>46221</x:v>
      </x:c>
      <x:c r="B17" s="175" t="str">
        <x:v>8:00 PM</x:v>
      </x:c>
      <x:c r="C17" s="140" t="str">
        <x:v>Lenny Clarke — Eastham Comedy Series</x:v>
      </x:c>
      <x:c r="D17" s="140" t="str">
        <x:v>Four Points by Sheraton Eastham</x:v>
      </x:c>
      <x:c r="E17" s="140" t="str">
        <x:v>$39.19</x:v>
      </x:c>
      <x:c r="F17" s="140" t="str">
        <x:v>Eventbrite all-in price; listing was marked 21+. Historical.</x:v>
      </x:c>
      <x:c r="G17" s="185" t="n">
        <x:v>300</x:v>
      </x:c>
      <x:c r="H17" s="212" t="str">
        <x:v>Published venue maximum</x:v>
      </x:c>
      <x:c r="I17" s="140" t="str">
        <x:v>The hotel's Billingsgate Ballroom has a published maximum capacity of 300.</x:v>
      </x:c>
      <x:c r="J17" s="140" t="str">
        <x:v>No two-drink minimum found</x:v>
      </x:c>
      <x:c r="K17" s="140" t="str">
        <x:v>The 300 figure is the largest-room maximum; a seated comedy layout may be lower.</x:v>
      </x:c>
      <x:c r="L17" s="197" t="str">
        <x:v>https://www.eventbrite.com/e/lenny-clarke-eastham-comedy-series-presented-by-giggles-comedy-tickets-1992699633245</x:v>
      </x:c>
      <x:c r="M17" s="193" t="str">
        <x:v>https://www.marriott.com/en-us/hotels/hyncp-four-points-eastham-cape-cod/events/</x:v>
      </x:c>
    </x:row>
    <x:row r="18" ht="66" customHeight="1">
      <x:c r="A18" s="174" t="n">
        <x:v>46221</x:v>
      </x:c>
      <x:c r="B18" s="175" t="str">
        <x:v>8:30 PM</x:v>
      </x:c>
      <x:c r="C18" s="140" t="str">
        <x:v>Shawn Carter LIVE @ Off the Grid</x:v>
      </x:c>
      <x:c r="D18" s="140" t="str">
        <x:v>Off the Grid</x:v>
      </x:c>
      <x:c r="E18" s="140" t="str">
        <x:v>From $19.98</x:v>
      </x:c>
      <x:c r="F18" s="140" t="str">
        <x:v>Eventbrite all-in starting price. Historical.</x:v>
      </x:c>
      <x:c r="G18" s="185" t="n">
        <x:v>140</x:v>
      </x:c>
      <x:c r="H18" s="212" t="str">
        <x:v>Published venue maximum</x:v>
      </x:c>
      <x:c r="I18" s="140" t="str">
        <x:v>Venue private-event materials advertise capacity for up to 140 guests.</x:v>
      </x:c>
      <x:c r="J18" s="140" t="str">
        <x:v>No two-drink minimum found</x:v>
      </x:c>
      <x:c r="K18" s="140" t="str">
        <x:v>The private-event maximum may exceed the number of seated comedy sightlines.</x:v>
      </x:c>
      <x:c r="L18" s="197" t="str">
        <x:v>https://www.eventbrite.com/e/shawn-carter-live-off-the-grid-comedy-night-tickets-1991574371557</x:v>
      </x:c>
      <x:c r="M18" s="193" t="str">
        <x:v>https://www.offthegridcc.com/catering</x:v>
      </x:c>
    </x:row>
    <x:row r="19" ht="66" customHeight="1">
      <x:c r="A19" s="174" t="n">
        <x:v>46223</x:v>
      </x:c>
      <x:c r="B19" s="175" t="str">
        <x:v>8:00 PM</x:v>
      </x:c>
      <x:c r="C19" s="140" t="str">
        <x:v>John Perrotta LIVE at Skippy's</x:v>
      </x:c>
      <x:c r="D19" s="140" t="str">
        <x:v>Skippy's Pier One</x:v>
      </x:c>
      <x:c r="E19" s="140" t="str">
        <x:v>$28.52–$29</x:v>
      </x:c>
      <x:c r="F19" s="140" t="str">
        <x:v>Eventbrite showed $28.52; another listing rounded general admission to $29.</x:v>
      </x:c>
      <x:c r="G19" s="185" t="n">
        <x:v>252</x:v>
      </x:c>
      <x:c r="H19" s="212" t="str">
        <x:v>Published occupant load</x:v>
      </x:c>
      <x:c r="I19" s="140" t="str">
        <x:v>A 2022 municipal certificate lists a first-floor occupant load of 252.</x:v>
      </x:c>
      <x:c r="J19" s="140" t="str">
        <x:v>No two-drink minimum found</x:v>
      </x:c>
      <x:c r="K19" s="140" t="str">
        <x:v>The occupant load is not the same as the number of chairs with a clear view of the comedy stage.</x:v>
      </x:c>
      <x:c r="L19" s="197" t="str">
        <x:v>https://www.eventbrite.com/e/john-perrotta-live-at-skippys-720-tickets-1992801226112</x:v>
      </x:c>
      <x:c r="M19" s="193" t="str">
        <x:v>https://lf.yarmouth.ma.us/WebLink/DocView.aspx?dbid=0&amp;id=1690030&amp;repo=LASERFICHE</x:v>
      </x:c>
    </x:row>
    <x:row r="20" ht="66" customHeight="1">
      <x:c r="A20" s="174" t="n">
        <x:v>46226</x:v>
      </x:c>
      <x:c r="B20" s="175" t="str">
        <x:v>8:00 PM</x:v>
      </x:c>
      <x:c r="C20" s="140" t="str">
        <x:v>Roast Battle: Cape Cod</x:v>
      </x:c>
      <x:c r="D20" s="140" t="str">
        <x:v>Naukabout Beer Co.</x:v>
      </x:c>
      <x:c r="E20" s="140" t="str">
        <x:v>From $15.18</x:v>
      </x:c>
      <x:c r="F20" s="140" t="str">
        <x:v>Eventbrite all-in starting price.</x:v>
      </x:c>
      <x:c r="G20" s="185" t="n">
        <x:v>250</x:v>
      </x:c>
      <x:c r="H20" s="214" t="str">
        <x:v>Educated estimate</x:v>
      </x:c>
      <x:c r="I20" s="140" t="str">
        <x:v>10,000 sq ft patio/taproom; private-event material advertises up to 300 seated. Working comedy cap set at 250.</x:v>
      </x:c>
      <x:c r="J20" s="220" t="str">
        <x:v>No two-drink minimum; 2-item recommendation only</x:v>
      </x:c>
      <x:c r="K20" s="140" t="str">
        <x:v>Show-specific layout is unpublished; the working estimate is below the venue's advertised private-event maximum.</x:v>
      </x:c>
      <x:c r="L20" s="197" t="str">
        <x:v>https://www.eventbrite.com/e/roast-battle-cape-cod-tickets-1987967638722</x:v>
      </x:c>
      <x:c r="M20" s="193" t="str">
        <x:v>https://www.naukabout.com/brewery
https://www.zola.com/wedding-vendors/wedding-venues/naukabout-brewery-and-taproom</x:v>
      </x:c>
    </x:row>
    <x:row r="21" ht="66" customHeight="1">
      <x:c r="A21" s="174" t="n">
        <x:v>46227</x:v>
      </x:c>
      <x:c r="B21" s="175" t="str">
        <x:v>8:00 PM</x:v>
      </x:c>
      <x:c r="C21" s="140" t="str">
        <x:v>Cape Cod Comedy with Dan Boulger</x:v>
      </x:c>
      <x:c r="D21" s="140" t="str">
        <x:v>House of Hatchets</x:v>
      </x:c>
      <x:c r="E21" s="140" t="str">
        <x:v>From $23.18</x:v>
      </x:c>
      <x:c r="F21" s="140" t="str">
        <x:v>Eventbrite all-in starting price.</x:v>
      </x:c>
      <x:c r="G21" s="185" t="n">
        <x:v>100</x:v>
      </x:c>
      <x:c r="H21" s="214" t="str">
        <x:v>Educated estimate</x:v>
      </x:c>
      <x:c r="I21" s="140" t="str">
        <x:v>Bar/axe venue with a newly expanded event area; working estimate of roughly 100.</x:v>
      </x:c>
      <x:c r="J21" s="140" t="str">
        <x:v>No two-drink minimum found</x:v>
      </x:c>
      <x:c r="K21" s="140" t="str">
        <x:v>No public fire-code or show-specific cap was found.</x:v>
      </x:c>
      <x:c r="L21" s="197" t="str">
        <x:v>https://www.eventbrite.com/e/cape-cod-comedy-with-dan-boulger-tickets-1990707924992</x:v>
      </x:c>
      <x:c r="M21" s="193" t="str">
        <x:v>https://www.capecodaxe.com/</x:v>
      </x:c>
    </x:row>
    <x:row r="22" ht="66" customHeight="1">
      <x:c r="A22" s="174" t="n">
        <x:v>46227</x:v>
      </x:c>
      <x:c r="B22" s="175" t="str">
        <x:v>7:30 PM</x:v>
      </x:c>
      <x:c r="C22" s="140" t="str">
        <x:v>John Mulaney: Mister Whatever</x:v>
      </x:c>
      <x:c r="D22" s="140" t="str">
        <x:v>Cape Cod Melody Tent</x:v>
      </x:c>
      <x:c r="E22" s="224" t="str">
        <x:v>Sold out; resale ≈$182+</x:v>
      </x:c>
      <x:c r="F22" s="140" t="str">
        <x:v>Official face value was no longer displayed. Resale snapshot was approximately $182+ on 2026-07-19 and is volatile.</x:v>
      </x:c>
      <x:c r="G22" s="185" t="n">
        <x:v>2300</x:v>
      </x:c>
      <x:c r="H22" s="212" t="str">
        <x:v>Exact venue capacity</x:v>
      </x:c>
      <x:c r="I22" s="140" t="str">
        <x:v>Official venue capacity is 2,300.</x:v>
      </x:c>
      <x:c r="J22" s="140" t="str">
        <x:v>No two-drink minimum found</x:v>
      </x:c>
      <x:c r="K22" s="140" t="str">
        <x:v>Sellable inventory may be slightly below venue capacity because of production holds and accessible seating.</x:v>
      </x:c>
      <x:c r="L22" s="197" t="str">
        <x:v>https://www.melodytent.org/event/john-mulaney-mister-whatever/cape-cod-melody-tent/hyannis-massachusetts/
https://seatgeek.com/venues/cape-cod-melody-tent/tickets</x:v>
      </x:c>
      <x:c r="M22" s="193" t="str">
        <x:v>https://www.melodytent.org/about-us/</x:v>
      </x:c>
    </x:row>
    <x:row r="23" ht="66" customHeight="1">
      <x:c r="A23" s="174" t="n">
        <x:v>46228</x:v>
      </x:c>
      <x:c r="B23" s="175" t="str">
        <x:v>5:00 PM</x:v>
      </x:c>
      <x:c r="C23" s="140" t="str">
        <x:v>John Mulaney: Mister Whatever</x:v>
      </x:c>
      <x:c r="D23" s="140" t="str">
        <x:v>Cape Cod Melody Tent</x:v>
      </x:c>
      <x:c r="E23" s="224" t="str">
        <x:v>Sold out; resale ≈$145+</x:v>
      </x:c>
      <x:c r="F23" s="140" t="str">
        <x:v>Official face value was no longer displayed. Resale snapshot was approximately $145+ on 2026-07-19 and is volatile.</x:v>
      </x:c>
      <x:c r="G23" s="185" t="n">
        <x:v>2300</x:v>
      </x:c>
      <x:c r="H23" s="212" t="str">
        <x:v>Exact venue capacity</x:v>
      </x:c>
      <x:c r="I23" s="140" t="str">
        <x:v>Official venue capacity is 2,300.</x:v>
      </x:c>
      <x:c r="J23" s="140" t="str">
        <x:v>No two-drink minimum found</x:v>
      </x:c>
      <x:c r="K23" s="140" t="str">
        <x:v>Sellable inventory may be slightly below venue capacity because of production holds and accessible seating.</x:v>
      </x:c>
      <x:c r="L23" s="197" t="str">
        <x:v>https://www.melodytent.org/event/john-mulaney-mister-whatever-3/cape-cod-melody-tent/hyannis-massachusetts/
https://seatgeek.com/venues/cape-cod-melody-tent/tickets</x:v>
      </x:c>
      <x:c r="M23" s="193" t="str">
        <x:v>https://www.melodytent.org/about-us/</x:v>
      </x:c>
    </x:row>
    <x:row r="24" ht="66" customHeight="1">
      <x:c r="A24" s="174" t="n">
        <x:v>46233</x:v>
      </x:c>
      <x:c r="B24" s="175" t="str">
        <x:v>8:00 PM</x:v>
      </x:c>
      <x:c r="C24" s="140" t="str">
        <x:v>Brian Glowacki</x:v>
      </x:c>
      <x:c r="D24" s="140" t="str">
        <x:v>Naukabout Beer Co.</x:v>
      </x:c>
      <x:c r="E24" s="140" t="str">
        <x:v>From $28.52</x:v>
      </x:c>
      <x:c r="F24" s="140" t="str">
        <x:v>Eventbrite all-in starting price.</x:v>
      </x:c>
      <x:c r="G24" s="185" t="n">
        <x:v>250</x:v>
      </x:c>
      <x:c r="H24" s="214" t="str">
        <x:v>Educated estimate</x:v>
      </x:c>
      <x:c r="I24" s="140" t="str">
        <x:v>10,000 sq ft patio/taproom; private-event material advertises up to 300 seated. Working comedy cap set at 250.</x:v>
      </x:c>
      <x:c r="J24" s="220" t="str">
        <x:v>No two-drink minimum; 2-item recommendation only</x:v>
      </x:c>
      <x:c r="K24" s="140" t="str">
        <x:v>Show-specific layout is unpublished; the working estimate is below the venue's advertised private-event maximum.</x:v>
      </x:c>
      <x:c r="L24" s="197" t="str">
        <x:v>https://www.eventbrite.com/e/brian-glowacki-live-naukabout-brewing-tickets-1988661888241</x:v>
      </x:c>
      <x:c r="M24" s="193" t="str">
        <x:v>https://www.naukabout.com/brewery
https://www.zola.com/wedding-vendors/wedding-venues/naukabout-brewery-and-taproom</x:v>
      </x:c>
    </x:row>
    <x:row r="25" ht="66" customHeight="1">
      <x:c r="A25" s="174" t="n">
        <x:v>46235</x:v>
      </x:c>
      <x:c r="B25" s="175" t="str">
        <x:v>7:00 PM</x:v>
      </x:c>
      <x:c r="C25" s="140" t="str">
        <x:v>Scamps Cotuit Comedy Festival</x:v>
      </x:c>
      <x:c r="D25" s="140" t="str">
        <x:v>Cotuit Center for the Arts (Tangletuit)</x:v>
      </x:c>
      <x:c r="E25" s="140" t="str">
        <x:v>$35 regular / $33 senior-veteran / $30 member</x:v>
      </x:c>
      <x:c r="F25" s="140" t="str">
        <x:v>Published tiered pricing.</x:v>
      </x:c>
      <x:c r="G25" s="185" t="n">
        <x:v>300</x:v>
      </x:c>
      <x:c r="H25" s="214" t="str">
        <x:v>Educated estimate</x:v>
      </x:c>
      <x:c r="I25" s="140" t="str">
        <x:v>Tangletuit is an outdoor pavilion/lawn venue; working estimate set at roughly 300.</x:v>
      </x:c>
      <x:c r="J25" s="140" t="str">
        <x:v>No two-drink minimum found</x:v>
      </x:c>
      <x:c r="K25" s="140" t="str">
        <x:v>Weather, lawn layout and stage footprint can materially change usable capacity.</x:v>
      </x:c>
      <x:c r="L25" s="197" t="str">
        <x:v>https://www.onthestage.tickets/show/cotuit-center-for-the-arts/6a3430a7cdd7561055cbd02b/tickets</x:v>
      </x:c>
      <x:c r="M25" s="193" t="str">
        <x:v>https://cotuit.org/about-the-center</x:v>
      </x:c>
    </x:row>
    <x:row r="26" ht="66" customHeight="1">
      <x:c r="A26" s="174" t="n">
        <x:v>46242</x:v>
      </x:c>
      <x:c r="B26" s="175" t="str">
        <x:v>8:00 PM</x:v>
      </x:c>
      <x:c r="C26" s="140" t="str">
        <x:v>Aquatic Comedy Night</x:v>
      </x:c>
      <x:c r="D26" s="140" t="str">
        <x:v>Aquatic Brewing</x:v>
      </x:c>
      <x:c r="E26" s="140" t="str">
        <x:v>$25 GA; $15 early-bird 2-for-1</x:v>
      </x:c>
      <x:c r="F26" s="140" t="str">
        <x:v>The 2-for-1 was a ticket offer, not a drink minimum.</x:v>
      </x:c>
      <x:c r="G26" s="185" t="n">
        <x:v>40</x:v>
      </x:c>
      <x:c r="H26" s="214" t="str">
        <x:v>Educated estimate</x:v>
      </x:c>
      <x:c r="I26" s="140" t="str">
        <x:v>Small indoor-only taproom with first-come tables; working event estimate set at roughly 40.</x:v>
      </x:c>
      <x:c r="J26" s="140" t="str">
        <x:v>No two-drink minimum; 2-for-1 was a ticket promotion</x:v>
      </x:c>
      <x:c r="K26" s="140" t="str">
        <x:v>An older 2018 license referenced only 12 seats; the current flexible event setup appears larger, but no current posted cap was found.</x:v>
      </x:c>
      <x:c r="L26" s="197" t="str">
        <x:v>https://www.eventbrite.com/e/aquatic-comedy-night-aquatic-brewing-tickets-1991879025786</x:v>
      </x:c>
      <x:c r="M26" s="193" t="str">
        <x:v>https://www.aquaticbrewing.com/visit-us
https://www.falmouthma.gov/AgendaCenter/ViewFile/Minutes/_02262018-10260</x:v>
      </x:c>
    </x:row>
    <x:row r="27" ht="66" customHeight="1">
      <x:c r="A27" s="174" t="n">
        <x:v>46242</x:v>
      </x:c>
      <x:c r="B27" s="175" t="str">
        <x:v>7:00 PM</x:v>
      </x:c>
      <x:c r="C27" s="140" t="str">
        <x:v>Matteo Lane</x:v>
      </x:c>
      <x:c r="D27" s="140" t="str">
        <x:v>Provincetown Town Hall</x:v>
      </x:c>
      <x:c r="E27" s="140" t="str">
        <x:v>$53–$94.50</x:v>
      </x:c>
      <x:c r="F27" s="140" t="str">
        <x:v>Fees included; members $49–$87.50; add $5 on show day.</x:v>
      </x:c>
      <x:c r="G27" s="185" t="n">
        <x:v>708</x:v>
      </x:c>
      <x:c r="H27" s="212" t="str">
        <x:v>Exact auditorium capacity</x:v>
      </x:c>
      <x:c r="I27" s="140" t="str">
        <x:v>428 on the floor, including 8 wheelchair spaces, plus a 280-seat balcony.</x:v>
      </x:c>
      <x:c r="J27" s="140" t="str">
        <x:v>No two-drink minimum found</x:v>
      </x:c>
      <x:c r="K27" s="140" t="str">
        <x:v>The total includes 8 wheelchair spaces.</x:v>
      </x:c>
      <x:c r="L27" s="197" t="str">
        <x:v>https://tickets.payomet.org/eventperformances.asp?evt=1055</x:v>
      </x:c>
      <x:c r="M27" s="193" t="str">
        <x:v>https://www.provincetown-ma.gov/facilities/facility/details/Townhall-Auditorium-1</x:v>
      </x:c>
    </x:row>
    <x:row r="28" ht="66" customHeight="1">
      <x:c r="A28" s="174" t="n">
        <x:v>46247</x:v>
      </x:c>
      <x:c r="B28" s="175" t="str">
        <x:v>8:00 PM</x:v>
      </x:c>
      <x:c r="C28" s="140" t="str">
        <x:v>Janelle Draper &amp; Friends</x:v>
      </x:c>
      <x:c r="D28" s="140" t="str">
        <x:v>Naukabout Beer Co.</x:v>
      </x:c>
      <x:c r="E28" s="140" t="str">
        <x:v>$20 early bird / $29 GA</x:v>
      </x:c>
      <x:c r="F28" s="140" t="str">
        <x:v>Third-party mirror of the underlying Eventbrite listing; fees may be added.</x:v>
      </x:c>
      <x:c r="G28" s="185" t="n">
        <x:v>250</x:v>
      </x:c>
      <x:c r="H28" s="214" t="str">
        <x:v>Educated estimate</x:v>
      </x:c>
      <x:c r="I28" s="140" t="str">
        <x:v>10,000 sq ft patio/taproom; private-event material advertises up to 300 seated. Working comedy cap set at 250.</x:v>
      </x:c>
      <x:c r="J28" s="220" t="str">
        <x:v>No two-drink minimum; 2-item recommendation only</x:v>
      </x:c>
      <x:c r="K28" s="140" t="str">
        <x:v>Show-specific layout is unpublished; the working estimate is below the venue's advertised private-event maximum.</x:v>
      </x:c>
      <x:c r="L28" s="197" t="str">
        <x:v>https://allevents.in/mashpee/janelle-draper-live-naukabout-brewing/100001989275367173</x:v>
      </x:c>
      <x:c r="M28" s="193" t="str">
        <x:v>https://www.naukabout.com/brewery
https://www.zola.com/wedding-vendors/wedding-venues/naukabout-brewery-and-taproom</x:v>
      </x:c>
    </x:row>
    <x:row r="29" ht="66" customHeight="1">
      <x:c r="A29" s="174" t="n">
        <x:v>46249</x:v>
      </x:c>
      <x:c r="B29" s="175" t="str">
        <x:v>5:00 PM</x:v>
      </x:c>
      <x:c r="C29" s="140" t="str">
        <x:v>An Evening with Bob Marley</x:v>
      </x:c>
      <x:c r="D29" s="140" t="str">
        <x:v>Cape Cod Melody Tent</x:v>
      </x:c>
      <x:c r="E29" s="140" t="str">
        <x:v>$57.15</x:v>
      </x:c>
      <x:c r="F29" s="140" t="str">
        <x:v>Published all-in ticket price.</x:v>
      </x:c>
      <x:c r="G29" s="185" t="n">
        <x:v>2300</x:v>
      </x:c>
      <x:c r="H29" s="212" t="str">
        <x:v>Exact venue capacity</x:v>
      </x:c>
      <x:c r="I29" s="140" t="str">
        <x:v>Official venue capacity is 2,300.</x:v>
      </x:c>
      <x:c r="J29" s="140" t="str">
        <x:v>No two-drink minimum found</x:v>
      </x:c>
      <x:c r="K29" s="140" t="str">
        <x:v>Sellable inventory may be slightly below venue capacity because of production holds and accessible seating.</x:v>
      </x:c>
      <x:c r="L29" s="197" t="str">
        <x:v>https://www.melodytent.org/event/an-evening-with-bob-marley-2/cape-cod-melody-tent/hyannis-massachusetts/</x:v>
      </x:c>
      <x:c r="M29" s="193" t="str">
        <x:v>https://www.melodytent.org/about-us/</x:v>
      </x:c>
    </x:row>
    <x:row r="30" ht="66" customHeight="1">
      <x:c r="A30" s="174" t="n">
        <x:v>46249</x:v>
      </x:c>
      <x:c r="B30" s="175" t="str">
        <x:v>8:00 PM</x:v>
      </x:c>
      <x:c r="C30" s="140" t="str">
        <x:v>An Evening with Bob Marley</x:v>
      </x:c>
      <x:c r="D30" s="140" t="str">
        <x:v>Cape Cod Melody Tent</x:v>
      </x:c>
      <x:c r="E30" s="140" t="str">
        <x:v>$57.15–$60.15</x:v>
      </x:c>
      <x:c r="F30" s="140" t="str">
        <x:v>Published all-in ticket range.</x:v>
      </x:c>
      <x:c r="G30" s="185" t="n">
        <x:v>2300</x:v>
      </x:c>
      <x:c r="H30" s="212" t="str">
        <x:v>Exact venue capacity</x:v>
      </x:c>
      <x:c r="I30" s="140" t="str">
        <x:v>Official venue capacity is 2,300.</x:v>
      </x:c>
      <x:c r="J30" s="140" t="str">
        <x:v>No two-drink minimum found</x:v>
      </x:c>
      <x:c r="K30" s="140" t="str">
        <x:v>Sellable inventory may be slightly below venue capacity because of production holds and accessible seating.</x:v>
      </x:c>
      <x:c r="L30" s="197" t="str">
        <x:v>https://www.melodytent.org/event/an-evening-with-bob-marley/cape-cod-melody-tent/hyannis-massachusetts/</x:v>
      </x:c>
      <x:c r="M30" s="193" t="str">
        <x:v>https://www.melodytent.org/about-us/</x:v>
      </x:c>
    </x:row>
    <x:row r="31" ht="66" customHeight="1">
      <x:c r="A31" s="174" t="n">
        <x:v>46250</x:v>
      </x:c>
      <x:c r="B31" s="175" t="str">
        <x:v>8:30 PM</x:v>
      </x:c>
      <x:c r="C31" s="140" t="str">
        <x:v>Bianca Del Rio — Stand-Up Comedy</x:v>
      </x:c>
      <x:c r="D31" s="140" t="str">
        <x:v>Provincetown Town Hall</x:v>
      </x:c>
      <x:c r="E31" s="140" t="str">
        <x:v>$75 / $100 / $150 + fees</x:v>
      </x:c>
      <x:c r="F31" s="140" t="str">
        <x:v>Published ticket levels; service fees added.</x:v>
      </x:c>
      <x:c r="G31" s="185" t="n">
        <x:v>708</x:v>
      </x:c>
      <x:c r="H31" s="212" t="str">
        <x:v>Exact auditorium capacity</x:v>
      </x:c>
      <x:c r="I31" s="140" t="str">
        <x:v>428 on the floor, including 8 wheelchair spaces, plus a 280-seat balcony.</x:v>
      </x:c>
      <x:c r="J31" s="140" t="str">
        <x:v>No two-drink minimum found</x:v>
      </x:c>
      <x:c r="K31" s="140" t="str">
        <x:v>The total includes 8 wheelchair spaces.</x:v>
      </x:c>
      <x:c r="L31" s="197" t="str">
        <x:v>https://ptown.org/events/bianca-del-rio-stand-up-comedy/</x:v>
      </x:c>
      <x:c r="M31" s="193" t="str">
        <x:v>https://www.provincetown-ma.gov/facilities/facility/details/Townhall-Auditorium-1</x:v>
      </x:c>
    </x:row>
    <x:row r="32" ht="66" customHeight="1">
      <x:c r="A32" s="174" t="n">
        <x:v>46254</x:v>
      </x:c>
      <x:c r="B32" s="175" t="str">
        <x:v>8:00 PM</x:v>
      </x:c>
      <x:c r="C32" s="140" t="str">
        <x:v>Lizzie's Lava Laughs LIVE</x:v>
      </x:c>
      <x:c r="D32" s="140" t="str">
        <x:v>Naukabout Beer Co.</x:v>
      </x:c>
      <x:c r="E32" s="140" t="str">
        <x:v>$15 GA (2-for-1 ticket deal)</x:v>
      </x:c>
      <x:c r="F32" s="140" t="str">
        <x:v>The 2-for-1 was a ticket promotion, not a drink minimum.</x:v>
      </x:c>
      <x:c r="G32" s="185" t="n">
        <x:v>250</x:v>
      </x:c>
      <x:c r="H32" s="214" t="str">
        <x:v>Educated estimate</x:v>
      </x:c>
      <x:c r="I32" s="140" t="str">
        <x:v>10,000 sq ft patio/taproom; private-event material advertises up to 300 seated. Working comedy cap set at 250.</x:v>
      </x:c>
      <x:c r="J32" s="220" t="str">
        <x:v>No two-drink minimum; 2-item recommendation only</x:v>
      </x:c>
      <x:c r="K32" s="140" t="str">
        <x:v>Show-specific layout is unpublished; the working estimate is below the venue's advertised private-event maximum.</x:v>
      </x:c>
      <x:c r="L32" s="197" t="str">
        <x:v>https://allevents.in/mashpee/lizzies-lava-laughs-live-naukabout-brewing/100001989306932586</x:v>
      </x:c>
      <x:c r="M32" s="193" t="str">
        <x:v>https://www.naukabout.com/brewery
https://www.zola.com/wedding-vendors/wedding-venues/naukabout-brewery-and-taproom</x:v>
      </x:c>
    </x:row>
    <x:row r="33" ht="66" customHeight="1">
      <x:c r="A33" s="174" t="n">
        <x:v>46257</x:v>
      </x:c>
      <x:c r="B33" s="175" t="str">
        <x:v>5:00 PM</x:v>
      </x:c>
      <x:c r="C33" s="140" t="str">
        <x:v>Jim Gaffigan: Everything Is Wonderful!</x:v>
      </x:c>
      <x:c r="D33" s="140" t="str">
        <x:v>Cape Cod Melody Tent</x:v>
      </x:c>
      <x:c r="E33" s="224" t="str">
        <x:v>$87.65–$174.65; sold out</x:v>
      </x:c>
      <x:c r="F33" s="140" t="str">
        <x:v>Official all-in price range; the 5:00 PM performance was sold out when checked.</x:v>
      </x:c>
      <x:c r="G33" s="185" t="n">
        <x:v>2300</x:v>
      </x:c>
      <x:c r="H33" s="212" t="str">
        <x:v>Exact venue capacity</x:v>
      </x:c>
      <x:c r="I33" s="140" t="str">
        <x:v>Official venue capacity is 2,300.</x:v>
      </x:c>
      <x:c r="J33" s="140" t="str">
        <x:v>No two-drink minimum found</x:v>
      </x:c>
      <x:c r="K33" s="140" t="str">
        <x:v>Sellable inventory may be slightly below venue capacity because of production holds and accessible seating.</x:v>
      </x:c>
      <x:c r="L33" s="197" t="str">
        <x:v>https://www.melodytent.org/event/jim-gaffigan-everything-is-wonderful/cape-cod-melody-tent/hyannis-massachusetts/</x:v>
      </x:c>
      <x:c r="M33" s="193" t="str">
        <x:v>https://www.melodytent.org/about-us/</x:v>
      </x:c>
    </x:row>
    <x:row r="34" ht="66" customHeight="1">
      <x:c r="A34" s="174" t="n">
        <x:v>46257</x:v>
      </x:c>
      <x:c r="B34" s="175" t="str">
        <x:v>8:45 PM</x:v>
      </x:c>
      <x:c r="C34" s="140" t="str">
        <x:v>Jim Gaffigan: Everything Is Wonderful!</x:v>
      </x:c>
      <x:c r="D34" s="140" t="str">
        <x:v>Cape Cod Melody Tent</x:v>
      </x:c>
      <x:c r="E34" s="140" t="str">
        <x:v>$87.65–$174.65</x:v>
      </x:c>
      <x:c r="F34" s="140" t="str">
        <x:v>Official all-in price range; the later performance was still listed for sale when checked.</x:v>
      </x:c>
      <x:c r="G34" s="185" t="n">
        <x:v>2300</x:v>
      </x:c>
      <x:c r="H34" s="212" t="str">
        <x:v>Exact venue capacity</x:v>
      </x:c>
      <x:c r="I34" s="140" t="str">
        <x:v>Official venue capacity is 2,300.</x:v>
      </x:c>
      <x:c r="J34" s="140" t="str">
        <x:v>No two-drink minimum found</x:v>
      </x:c>
      <x:c r="K34" s="140" t="str">
        <x:v>Sellable inventory may be slightly below venue capacity because of production holds and accessible seating.</x:v>
      </x:c>
      <x:c r="L34" s="197" t="str">
        <x:v>https://www.melodytent.org/event/jim-gaffigan-everything-is-wonderful-2/cape-cod-melody-tent/hyannis-massachusetts/</x:v>
      </x:c>
      <x:c r="M34" s="193" t="str">
        <x:v>https://www.melodytent.org/about-us/</x:v>
      </x:c>
    </x:row>
    <x:row r="35" ht="66" customHeight="1">
      <x:c r="A35" s="176" t="n">
        <x:v>46261</x:v>
      </x:c>
      <x:c r="B35" s="177" t="str">
        <x:v>8:00 PM</x:v>
      </x:c>
      <x:c r="C35" s="150" t="str">
        <x:v>Matt Vita LIVE</x:v>
      </x:c>
      <x:c r="D35" s="150" t="str">
        <x:v>Naukabout Beer Co.</x:v>
      </x:c>
      <x:c r="E35" s="150" t="str">
        <x:v>From $15.18</x:v>
      </x:c>
      <x:c r="F35" s="150" t="str">
        <x:v>Eventbrite all-in starting price; a 2-for-1 ticket promotion may apply. It is not a drink minimum.</x:v>
      </x:c>
      <x:c r="G35" s="186" t="n">
        <x:v>250</x:v>
      </x:c>
      <x:c r="H35" s="226" t="str">
        <x:v>Educated estimate</x:v>
      </x:c>
      <x:c r="I35" s="150" t="str">
        <x:v>10,000 sq ft patio/taproom; private-event material advertises up to 300 seated. Working comedy cap set at 250.</x:v>
      </x:c>
      <x:c r="J35" s="228" t="str">
        <x:v>No two-drink minimum; 2-item recommendation only</x:v>
      </x:c>
      <x:c r="K35" s="150" t="str">
        <x:v>Show-specific layout is unpublished; the working estimate is below the venue's advertised private-event maximum.</x:v>
      </x:c>
      <x:c r="L35" s="198" t="str">
        <x:v>https://www.eventbrite.com/e/comedian-matt-vita-live-naukabout-brewing-tickets-1989331462957</x:v>
      </x:c>
      <x:c r="M35" s="195" t="str">
        <x:v>https://www.naukabout.com/brewery
https://www.zola.com/wedding-vendors/wedding-venues/naukabout-brewery-and-taproom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  <x:mergeCell ref="K4:M4"/>
    <x:mergeCell ref="K5:M5"/>
  </x:mergeCells>
  <x:pageMargins left="0.7" right="0.7" top="0.75" bottom="0.75" header="0.3" footer="0.3"/>
  <x:tableParts count="1">
    <x:tablePart xmlns:r="http://schemas.openxmlformats.org/officeDocument/2006/relationships" r:id="Rf07da79302814b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3" hidden="0" customWidth="1"/>
    <x:col min="3" max="3" width="13" hidden="0" customWidth="1"/>
    <x:col min="4" max="4" width="25" hidden="0" customWidth="1"/>
    <x:col min="5" max="5" width="52" hidden="0" customWidth="1"/>
    <x:col min="6" max="6" width="48" hidden="0" customWidth="1"/>
  </x:cols>
  <x:sheetData>
    <x:row r="1" ht="34" customHeight="1">
      <x:c r="A1" s="5" t="str">
        <x:v>Venue capacity working assumptions</x:v>
      </x:c>
      <x:c r="B1" s="5"/>
      <x:c r="C1" s="5"/>
      <x:c r="D1" s="5"/>
      <x:c r="E1" s="5"/>
      <x:c r="F1" s="5"/>
    </x:row>
    <x:row r="2" ht="28" customHeight="1">
      <x:c r="A2" s="13" t="str">
        <x:v>The working cap is reused for each event at a venue. Exact figures, published maxima and estimates are distinguished in the confidence column.</x:v>
      </x:c>
      <x:c r="B2" s="13"/>
      <x:c r="C2" s="13"/>
      <x:c r="D2" s="13"/>
      <x:c r="E2" s="13"/>
      <x:c r="F2" s="13"/>
    </x:row>
    <x:row r="4" ht="32" customHeight="1">
      <x:c r="A4" s="132" t="str">
        <x:v>Venue</x:v>
      </x:c>
      <x:c r="B4" s="132" t="str">
        <x:v>Listed events</x:v>
      </x:c>
      <x:c r="C4" s="132" t="str">
        <x:v>Working cap</x:v>
      </x:c>
      <x:c r="D4" s="132" t="str">
        <x:v>Confidence</x:v>
      </x:c>
      <x:c r="E4" s="132" t="str">
        <x:v>Basis</x:v>
      </x:c>
      <x:c r="F4" s="132" t="str">
        <x:v>Capacity source URL</x:v>
      </x:c>
    </x:row>
    <x:row r="5" ht="55" customHeight="1">
      <x:c r="A5" s="144" t="str">
        <x:v>Naukabout Beer Co.</x:v>
      </x:c>
      <x:c r="B5" s="184" t="n">
        <x:f>COUNTIF(Events!$D$8:$D$35,A5)</x:f>
        <x:v>8</x:v>
      </x:c>
      <x:c r="C5" s="184" t="n">
        <x:v>250</x:v>
      </x:c>
      <x:c r="D5" s="210" t="str">
        <x:v>Educated estimate</x:v>
      </x:c>
      <x:c r="E5" s="145" t="str">
        <x:v>10,000 sq ft patio/taproom; up to 300 seated for private events. Working comedy cap: 250.</x:v>
      </x:c>
      <x:c r="F5" s="230" t="str">
        <x:v>https://www.naukabout.com/brewery
https://www.zola.com/wedding-vendors/wedding-venues/naukabout-brewery-and-taproom</x:v>
      </x:c>
    </x:row>
    <x:row r="6" ht="55" customHeight="1">
      <x:c r="A6" s="147" t="str">
        <x:v>Skippy's Pier One</x:v>
      </x:c>
      <x:c r="B6" s="185" t="n">
        <x:f>COUNTIF(Events!$D$8:$D$35,A6)</x:f>
        <x:v>3</x:v>
      </x:c>
      <x:c r="C6" s="185" t="n">
        <x:v>252</x:v>
      </x:c>
      <x:c r="D6" s="216" t="str">
        <x:v>Published occupant load</x:v>
      </x:c>
      <x:c r="E6" s="140" t="str">
        <x:v>2022 municipal first-floor occupant load: 252.</x:v>
      </x:c>
      <x:c r="F6" s="231" t="str">
        <x:v>https://lf.yarmouth.ma.us/WebLink/DocView.aspx?dbid=0&amp;id=1690030&amp;repo=LASERFICHE</x:v>
      </x:c>
    </x:row>
    <x:row r="7" ht="55" customHeight="1">
      <x:c r="A7" s="147" t="str">
        <x:v>Red Nun Bar &amp; Grill</x:v>
      </x:c>
      <x:c r="B7" s="185" t="n">
        <x:f>COUNTIF(Events!$D$8:$D$35,A7)</x:f>
        <x:v>1</x:v>
      </x:c>
      <x:c r="C7" s="185" t="n">
        <x:v>100</x:v>
      </x:c>
      <x:c r="D7" s="220" t="str">
        <x:v>Educated estimate</x:v>
      </x:c>
      <x:c r="E7" s="140" t="str">
        <x:v>Compact pub/restaurant working estimate.</x:v>
      </x:c>
      <x:c r="F7" s="231" t="str">
        <x:v>https://rednun.com/</x:v>
      </x:c>
    </x:row>
    <x:row r="8" ht="55" customHeight="1">
      <x:c r="A8" s="147" t="str">
        <x:v>House of Hatchets</x:v>
      </x:c>
      <x:c r="B8" s="185" t="n">
        <x:f>COUNTIF(Events!$D$8:$D$35,A8)</x:f>
        <x:v>2</x:v>
      </x:c>
      <x:c r="C8" s="185" t="n">
        <x:v>100</x:v>
      </x:c>
      <x:c r="D8" s="220" t="str">
        <x:v>Educated estimate</x:v>
      </x:c>
      <x:c r="E8" s="140" t="str">
        <x:v>Newly expanded bar/event area; no public cap found.</x:v>
      </x:c>
      <x:c r="F8" s="231" t="str">
        <x:v>https://www.capecodaxe.com/</x:v>
      </x:c>
    </x:row>
    <x:row r="9" ht="55" customHeight="1">
      <x:c r="A9" s="147" t="str">
        <x:v>Provincetown Town Hall</x:v>
      </x:c>
      <x:c r="B9" s="185" t="n">
        <x:f>COUNTIF(Events!$D$8:$D$35,A9)</x:f>
        <x:v>3</x:v>
      </x:c>
      <x:c r="C9" s="185" t="n">
        <x:v>708</x:v>
      </x:c>
      <x:c r="D9" s="216" t="str">
        <x:v>Exact auditorium capacity</x:v>
      </x:c>
      <x:c r="E9" s="140" t="str">
        <x:v>428 floor, including 8 wheelchair spaces, plus 280 balcony.</x:v>
      </x:c>
      <x:c r="F9" s="231" t="str">
        <x:v>https://www.provincetown-ma.gov/facilities/facility/details/Townhall-Auditorium-1</x:v>
      </x:c>
    </x:row>
    <x:row r="10" ht="55" customHeight="1">
      <x:c r="A10" s="147" t="str">
        <x:v>Oak Bay Brewery</x:v>
      </x:c>
      <x:c r="B10" s="185" t="n">
        <x:f>COUNTIF(Events!$D$8:$D$35,A10)</x:f>
        <x:v>1</x:v>
      </x:c>
      <x:c r="C10" s="185" t="n">
        <x:v>100</x:v>
      </x:c>
      <x:c r="D10" s="220" t="str">
        <x:v>Educated estimate</x:v>
      </x:c>
      <x:c r="E10" s="140" t="str">
        <x:v>Small brewery/restaurant with indoor and outdoor seating; unknown comedy layout.</x:v>
      </x:c>
      <x:c r="F10" s="231" t="str">
        <x:v>https://barnstable.gov/BoardsCommittees/LicensingAuthority/Minutes/2023/07_24_23__Licensing_Authority_Approved_Minutes.pdf</x:v>
      </x:c>
    </x:row>
    <x:row r="11" ht="55" customHeight="1">
      <x:c r="A11" s="147" t="str">
        <x:v>Four Points by Sheraton Eastham</x:v>
      </x:c>
      <x:c r="B11" s="185" t="n">
        <x:f>COUNTIF(Events!$D$8:$D$35,A11)</x:f>
        <x:v>1</x:v>
      </x:c>
      <x:c r="C11" s="185" t="n">
        <x:v>300</x:v>
      </x:c>
      <x:c r="D11" s="216" t="str">
        <x:v>Published venue maximum</x:v>
      </x:c>
      <x:c r="E11" s="140" t="str">
        <x:v>Billingsgate Ballroom maximum: 300.</x:v>
      </x:c>
      <x:c r="F11" s="231" t="str">
        <x:v>https://www.marriott.com/en-us/hotels/hyncp-four-points-eastham-cape-cod/events/</x:v>
      </x:c>
    </x:row>
    <x:row r="12" ht="55" customHeight="1">
      <x:c r="A12" s="147" t="str">
        <x:v>Off the Grid</x:v>
      </x:c>
      <x:c r="B12" s="185" t="n">
        <x:f>COUNTIF(Events!$D$8:$D$35,A12)</x:f>
        <x:v>1</x:v>
      </x:c>
      <x:c r="C12" s="185" t="n">
        <x:v>140</x:v>
      </x:c>
      <x:c r="D12" s="216" t="str">
        <x:v>Published venue maximum</x:v>
      </x:c>
      <x:c r="E12" s="140" t="str">
        <x:v>Private-event capacity advertised up to 140.</x:v>
      </x:c>
      <x:c r="F12" s="231" t="str">
        <x:v>https://www.offthegridcc.com/catering</x:v>
      </x:c>
    </x:row>
    <x:row r="13" ht="55" customHeight="1">
      <x:c r="A13" s="147" t="str">
        <x:v>Cape Cod Melody Tent</x:v>
      </x:c>
      <x:c r="B13" s="185" t="n">
        <x:f>COUNTIF(Events!$D$8:$D$35,A13)</x:f>
        <x:v>6</x:v>
      </x:c>
      <x:c r="C13" s="185" t="n">
        <x:v>2300</x:v>
      </x:c>
      <x:c r="D13" s="216" t="str">
        <x:v>Exact venue capacity</x:v>
      </x:c>
      <x:c r="E13" s="140" t="str">
        <x:v>Official venue capacity: 2,300.</x:v>
      </x:c>
      <x:c r="F13" s="231" t="str">
        <x:v>https://www.melodytent.org/about-us/</x:v>
      </x:c>
    </x:row>
    <x:row r="14" ht="55" customHeight="1">
      <x:c r="A14" s="147" t="str">
        <x:v>Cotuit Center for the Arts (Tangletuit)</x:v>
      </x:c>
      <x:c r="B14" s="185" t="n">
        <x:f>COUNTIF(Events!$D$8:$D$35,A14)</x:f>
        <x:v>1</x:v>
      </x:c>
      <x:c r="C14" s="185" t="n">
        <x:v>300</x:v>
      </x:c>
      <x:c r="D14" s="220" t="str">
        <x:v>Educated estimate</x:v>
      </x:c>
      <x:c r="E14" s="140" t="str">
        <x:v>Outdoor pavilion/lawn working estimate; weather and staging affect usable space.</x:v>
      </x:c>
      <x:c r="F14" s="231" t="str">
        <x:v>https://cotuit.org/about-the-center</x:v>
      </x:c>
    </x:row>
    <x:row r="15" ht="55" customHeight="1">
      <x:c r="A15" s="149" t="str">
        <x:v>Aquatic Brewing</x:v>
      </x:c>
      <x:c r="B15" s="186" t="n">
        <x:f>COUNTIF(Events!$D$8:$D$35,A15)</x:f>
        <x:v>1</x:v>
      </x:c>
      <x:c r="C15" s="186" t="n">
        <x:v>40</x:v>
      </x:c>
      <x:c r="D15" s="228" t="str">
        <x:v>Educated estimate</x:v>
      </x:c>
      <x:c r="E15" s="150" t="str">
        <x:v>Small indoor-only taproom; no current published event cap.</x:v>
      </x:c>
      <x:c r="F15" s="232" t="str">
        <x:v>https://www.aquaticbrewing.com/visit-us
https://www.falmouthma.gov/AgendaCenter/ViewFile/Minutes/_02262018-10260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7da1080b5dbe42d1"/>
  <x:tableParts count="1">
    <x:tablePart xmlns:r="http://schemas.openxmlformats.org/officeDocument/2006/relationships" r:id="R895ef00ce52049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5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5" t="str">
        <x:v>Methodology, assumptions and important caveats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Prepared from the uploaded 28-event document, then refreshed against official venue pages, official ticket pages, municipal records and ticketing mirrors.</x:v>
      </x:c>
      <x:c r="B2" s="13"/>
      <x:c r="C2" s="13"/>
      <x:c r="D2" s="13"/>
      <x:c r="E2" s="13"/>
      <x:c r="F2" s="13"/>
      <x:c r="G2" s="13"/>
      <x:c r="H2" s="13"/>
    </x:row>
    <x:row r="4">
      <x:c r="A4" s="132" t="str">
        <x:v>Key conclusions</x:v>
      </x:c>
      <x:c r="B4" s="132"/>
      <x:c r="C4" s="132"/>
      <x:c r="D4" s="132"/>
      <x:c r="E4" s="132"/>
      <x:c r="F4" s="132"/>
      <x:c r="G4" s="132"/>
      <x:c r="H4" s="132"/>
    </x:row>
    <x:row r="5" ht="34" customHeight="1">
      <x:c r="A5" s="255" t="str">
        <x:v>No mandatory two-drink minimum was found for any of the 28 listings.</x:v>
      </x:c>
      <x:c r="B5" s="256"/>
      <x:c r="C5" s="256"/>
      <x:c r="D5" s="256"/>
      <x:c r="E5" s="256"/>
      <x:c r="F5" s="256"/>
      <x:c r="G5" s="256"/>
      <x:c r="H5" s="257"/>
    </x:row>
    <x:row r="6" ht="34" customHeight="1">
      <x:c r="A6" s="258" t="str">
        <x:v>Naukabout's official comedy page uses a 2-item recommendation, not a mandatory minimum.</x:v>
      </x:c>
      <x:c r="B6" s="259"/>
      <x:c r="C6" s="259"/>
      <x:c r="D6" s="259"/>
      <x:c r="E6" s="259"/>
      <x:c r="F6" s="259"/>
      <x:c r="G6" s="259"/>
      <x:c r="H6" s="260"/>
    </x:row>
    <x:row r="7" ht="34" customHeight="1">
      <x:c r="A7" s="258" t="str">
        <x:v>The '2-for-1' wording on Oak Bay, Aquatic, Lizzie's Lava Laughs and some Matt Vita listings refers to tickets, not drinks.</x:v>
      </x:c>
      <x:c r="B7" s="259"/>
      <x:c r="C7" s="259"/>
      <x:c r="D7" s="259"/>
      <x:c r="E7" s="259"/>
      <x:c r="F7" s="259"/>
      <x:c r="G7" s="259"/>
      <x:c r="H7" s="260"/>
    </x:row>
    <x:row r="8" ht="34" customHeight="1">
      <x:c r="A8" s="258" t="str">
        <x:v>Exact show-specific capacities are often not disclosed by bars and breweries, so those rows use labeled working estimates.</x:v>
      </x:c>
      <x:c r="B8" s="259"/>
      <x:c r="C8" s="259"/>
      <x:c r="D8" s="259"/>
      <x:c r="E8" s="259"/>
      <x:c r="F8" s="259"/>
      <x:c r="G8" s="259"/>
      <x:c r="H8" s="260"/>
    </x:row>
    <x:row r="9" ht="34" customHeight="1">
      <x:c r="A9" s="261" t="str">
        <x:v>Red Nun's official series listing places the Dutchess SS show on Wednesday, July 8, rather than Thursday, July 9 as shown in the uploaded document.</x:v>
      </x:c>
      <x:c r="B9" s="262"/>
      <x:c r="C9" s="262"/>
      <x:c r="D9" s="262"/>
      <x:c r="E9" s="262"/>
      <x:c r="F9" s="262"/>
      <x:c r="G9" s="262"/>
      <x:c r="H9" s="263"/>
    </x:row>
    <x:row r="11">
      <x:c r="A11" s="132" t="str">
        <x:v>Capacity confidence legend</x:v>
      </x:c>
      <x:c r="B11" s="132"/>
      <x:c r="C11" s="132"/>
      <x:c r="D11" s="132"/>
      <x:c r="E11" s="132"/>
      <x:c r="F11" s="132"/>
      <x:c r="G11" s="132"/>
      <x:c r="H11" s="132"/>
    </x:row>
    <x:row r="12">
      <x:c r="A12" s="302" t="str">
        <x:v>Label</x:v>
      </x:c>
      <x:c r="B12" s="303" t="str">
        <x:v>Meaning</x:v>
      </x:c>
      <x:c r="C12" s="304" t="str">
        <x:v>How to interpret the number</x:v>
      </x:c>
    </x:row>
    <x:row r="13" ht="42" customHeight="1">
      <x:c r="A13" s="318" t="str">
        <x:v>Exact venue / auditorium capacity</x:v>
      </x:c>
      <x:c r="B13" s="319" t="str">
        <x:v>Published total capacity for the performance space.</x:v>
      </x:c>
      <x:c r="C13" s="320" t="str">
        <x:v>Best available ceiling; sellable inventory can still be a little lower.</x:v>
      </x:c>
    </x:row>
    <x:row r="14" ht="42" customHeight="1">
      <x:c r="A14" s="324" t="str">
        <x:v>Published occupant load</x:v>
      </x:c>
      <x:c r="B14" s="325" t="str">
        <x:v>Fire-code or municipal occupant load.</x:v>
      </x:c>
      <x:c r="C14" s="326" t="str">
        <x:v>Includes patrons in layouts that may not all be seated or stage-facing.</x:v>
      </x:c>
    </x:row>
    <x:row r="15" ht="42" customHeight="1">
      <x:c r="A15" s="324" t="str">
        <x:v>Published venue maximum</x:v>
      </x:c>
      <x:c r="B15" s="325" t="str">
        <x:v>Largest advertised function-room or private-event maximum.</x:v>
      </x:c>
      <x:c r="C15" s="326" t="str">
        <x:v>The comedy setup may use fewer chairs.</x:v>
      </x:c>
    </x:row>
    <x:row r="16" ht="42" customHeight="1">
      <x:c r="A16" s="330" t="str">
        <x:v>Educated estimate</x:v>
      </x:c>
      <x:c r="B16" s="228" t="str">
        <x:v>A working number inferred from venue size and format.</x:v>
      </x:c>
      <x:c r="C16" s="331" t="str">
        <x:v>Use as an order-of-magnitude planning figure, not a legal capacity.</x:v>
      </x:c>
    </x:row>
    <x:row r="18">
      <x:c r="A18" s="132" t="str">
        <x:v>Ticket-price treatment</x:v>
      </x:c>
      <x:c r="B18" s="132"/>
      <x:c r="C18" s="132"/>
      <x:c r="D18" s="132"/>
      <x:c r="E18" s="132"/>
      <x:c r="F18" s="132"/>
      <x:c r="G18" s="132"/>
      <x:c r="H18" s="132"/>
    </x:row>
    <x:row r="19" ht="38" customHeight="1">
      <x:c r="A19" s="255" t="str">
        <x:v>'From' prices are the lowest amount displayed by the ticket page at the time checked; they are not a promise of remaining inventory.</x:v>
      </x:c>
      <x:c r="B19" s="256"/>
      <x:c r="C19" s="256"/>
      <x:c r="D19" s="256"/>
      <x:c r="E19" s="256"/>
      <x:c r="F19" s="256"/>
      <x:c r="G19" s="256"/>
      <x:c r="H19" s="257"/>
    </x:row>
    <x:row r="20" ht="38" customHeight="1">
      <x:c r="A20" s="258" t="str">
        <x:v>Where a ticketing page displayed an all-in price, the workbook says so. Other rows may add service fees at checkout.</x:v>
      </x:c>
      <x:c r="B20" s="259"/>
      <x:c r="C20" s="259"/>
      <x:c r="D20" s="259"/>
      <x:c r="E20" s="259"/>
      <x:c r="F20" s="259"/>
      <x:c r="G20" s="259"/>
      <x:c r="H20" s="260"/>
    </x:row>
    <x:row r="21" ht="38" customHeight="1">
      <x:c r="A21" s="258" t="str">
        <x:v>For sold-out John Mulaney shows, official face value was no longer visible; the resale amounts are dated snapshots and can move quickly.</x:v>
      </x:c>
      <x:c r="B21" s="259"/>
      <x:c r="C21" s="259"/>
      <x:c r="D21" s="259"/>
      <x:c r="E21" s="259"/>
      <x:c r="F21" s="259"/>
      <x:c r="G21" s="259"/>
      <x:c r="H21" s="260"/>
    </x:row>
    <x:row r="22" ht="38" customHeight="1">
      <x:c r="A22" s="258" t="str">
        <x:v>Prices for events that had already occurred by July 19, 2026 are retained as historical published prices.</x:v>
      </x:c>
      <x:c r="B22" s="259"/>
      <x:c r="C22" s="259"/>
      <x:c r="D22" s="259"/>
      <x:c r="E22" s="259"/>
      <x:c r="F22" s="259"/>
      <x:c r="G22" s="259"/>
      <x:c r="H22" s="260"/>
    </x:row>
    <x:row r="23" ht="38" customHeight="1">
      <x:c r="A23" s="261" t="str">
        <x:v>The workbook covers the 28 high-confidence events in the uploaded table; the document's separately noted unverified/excluded items were not added.</x:v>
      </x:c>
      <x:c r="B23" s="262"/>
      <x:c r="C23" s="262"/>
      <x:c r="D23" s="262"/>
      <x:c r="E23" s="262"/>
      <x:c r="F23" s="262"/>
      <x:c r="G23" s="262"/>
      <x:c r="H23" s="263"/>
    </x:row>
    <x:row r="25">
      <x:c r="A25" s="132" t="str">
        <x:v>Source document</x:v>
      </x:c>
      <x:c r="B25" s="132"/>
      <x:c r="C25" s="132"/>
      <x:c r="D25" s="132"/>
      <x:c r="E25" s="132"/>
      <x:c r="F25" s="132"/>
      <x:c r="G25" s="132"/>
      <x:c r="H25" s="132"/>
    </x:row>
    <x:row r="26">
      <x:c r="A26" s="353" t="str">
        <x:v>Cape Cod stand-up comedy events from July through the day after US Labor Day.docx</x:v>
      </x:c>
      <x:c r="B26" s="354"/>
      <x:c r="C26" s="354"/>
      <x:c r="D26" s="354"/>
      <x:c r="E26" s="354"/>
      <x:c r="F26" s="354"/>
      <x:c r="G26" s="354"/>
      <x:c r="H26" s="355"/>
    </x:row>
    <x:row r="27">
      <x:c r="A27" s="356"/>
      <x:c r="B27" s="357"/>
      <x:c r="C27" s="357"/>
      <x:c r="D27" s="357"/>
      <x:c r="E27" s="357"/>
      <x:c r="F27" s="357"/>
      <x:c r="G27" s="357"/>
      <x:c r="H27" s="358"/>
    </x:row>
  </x:sheetData>
  <x:mergeCells>
    <x:mergeCell ref="A1:H1"/>
    <x:mergeCell ref="A2:H2"/>
    <x:mergeCell ref="A4:H4"/>
    <x:mergeCell ref="A11:H11"/>
    <x:mergeCell ref="A18:H18"/>
    <x:mergeCell ref="A25:H25"/>
    <x:mergeCell ref="A26:H27"/>
  </x:mergeCells>
  <x:pageMargins left="0.7" right="0.7" top="0.75" bottom="0.75" header="0.3" footer="0.3"/>
</x:worksheet>
</file>